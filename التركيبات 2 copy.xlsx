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65" yWindow="165" windowWidth="28635" windowHeight="13965" tabRatio="975" firstSheet="9" activeTab="40"/>
  </bookViews>
  <sheets>
    <sheet name="23-6" sheetId="1" r:id="rId1"/>
    <sheet name="24-06" sheetId="3" r:id="rId2"/>
    <sheet name="25-05" sheetId="5" r:id="rId3"/>
    <sheet name="27-06" sheetId="6" r:id="rId4"/>
    <sheet name="28-06)" sheetId="7" r:id="rId5"/>
    <sheet name="29-06" sheetId="8" r:id="rId6"/>
    <sheet name="30-06 " sheetId="9" r:id="rId7"/>
    <sheet name="01-07" sheetId="11" r:id="rId8"/>
    <sheet name="02-07 " sheetId="12" r:id="rId9"/>
    <sheet name="04-07" sheetId="13" r:id="rId10"/>
    <sheet name="05-07" sheetId="14" r:id="rId11"/>
    <sheet name="06-07" sheetId="17" r:id="rId12"/>
    <sheet name="07-07" sheetId="18" r:id="rId13"/>
    <sheet name="08-07" sheetId="19" r:id="rId14"/>
    <sheet name="09-07)" sheetId="20" r:id="rId15"/>
    <sheet name="11-07" sheetId="21" r:id="rId16"/>
    <sheet name="12-07" sheetId="22" r:id="rId17"/>
    <sheet name="13-07" sheetId="23" r:id="rId18"/>
    <sheet name="14-07" sheetId="24" r:id="rId19"/>
    <sheet name="15-07" sheetId="25" r:id="rId20"/>
    <sheet name="19-07 " sheetId="26" r:id="rId21"/>
    <sheet name="20-07" sheetId="27" r:id="rId22"/>
    <sheet name="21-07" sheetId="28" r:id="rId23"/>
    <sheet name="22-07" sheetId="29" r:id="rId24"/>
    <sheet name="23-07" sheetId="30" r:id="rId25"/>
    <sheet name="25-07" sheetId="31" r:id="rId26"/>
    <sheet name="26-07" sheetId="32" r:id="rId27"/>
    <sheet name="27-07" sheetId="33" r:id="rId28"/>
    <sheet name="28-07" sheetId="34" r:id="rId29"/>
    <sheet name="29-07" sheetId="35" r:id="rId30"/>
    <sheet name="30-07" sheetId="36" r:id="rId31"/>
    <sheet name="0-08" sheetId="37" r:id="rId32"/>
    <sheet name="02-08" sheetId="38" r:id="rId33"/>
    <sheet name="03-08" sheetId="39" r:id="rId34"/>
    <sheet name="04-08" sheetId="40" r:id="rId35"/>
    <sheet name="05-08" sheetId="41" r:id="rId36"/>
    <sheet name="06-08" sheetId="43" r:id="rId37"/>
    <sheet name="07-08" sheetId="44" r:id="rId38"/>
    <sheet name="08-08" sheetId="45" r:id="rId39"/>
    <sheet name="09-08" sheetId="46" r:id="rId40"/>
    <sheet name="09-08 (2)" sheetId="47" r:id="rId4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1" l="1"/>
  <c r="B6" i="41" l="1"/>
  <c r="B5" i="40" l="1"/>
  <c r="B3" i="40" l="1"/>
  <c r="B3" i="37" l="1"/>
  <c r="C7" i="35" l="1"/>
  <c r="B5" i="35"/>
  <c r="C3" i="34" l="1"/>
  <c r="C3" i="31" l="1"/>
  <c r="B3" i="23" l="1"/>
  <c r="C3" i="18" l="1"/>
  <c r="C4" i="12" l="1"/>
  <c r="C3" i="12"/>
</calcChain>
</file>

<file path=xl/sharedStrings.xml><?xml version="1.0" encoding="utf-8"?>
<sst xmlns="http://schemas.openxmlformats.org/spreadsheetml/2006/main" count="836" uniqueCount="269">
  <si>
    <t>الثلاثاء : 23/06/2026</t>
  </si>
  <si>
    <t>ملاحظات</t>
  </si>
  <si>
    <t>الباقي</t>
  </si>
  <si>
    <t>دفع</t>
  </si>
  <si>
    <t>العدد</t>
  </si>
  <si>
    <t xml:space="preserve">الصنف </t>
  </si>
  <si>
    <t>الاجراء</t>
  </si>
  <si>
    <t>العنوان</t>
  </si>
  <si>
    <t>رقم الهاتف</t>
  </si>
  <si>
    <t xml:space="preserve">اسم الزبون </t>
  </si>
  <si>
    <t>11 صباحا</t>
  </si>
  <si>
    <t xml:space="preserve">هاير دايموند اطن عدد ٢ + جري ٢ طن عدد ١ </t>
  </si>
  <si>
    <t xml:space="preserve">تركيب </t>
  </si>
  <si>
    <t>الثنية الصبحيات</t>
  </si>
  <si>
    <t xml:space="preserve">ليث تيفور </t>
  </si>
  <si>
    <t>اليوم</t>
  </si>
  <si>
    <t>هاير بريميوم 2 طن</t>
  </si>
  <si>
    <t>تركيب</t>
  </si>
  <si>
    <t>طريق الحويه</t>
  </si>
  <si>
    <t>حمدو الجعافرة</t>
  </si>
  <si>
    <t xml:space="preserve">قبل المغرب </t>
  </si>
  <si>
    <t xml:space="preserve">دايموند  1.5 طن </t>
  </si>
  <si>
    <t>الراشدية</t>
  </si>
  <si>
    <t>اسامة نواصرة</t>
  </si>
  <si>
    <t xml:space="preserve">دايمموند 2 طن </t>
  </si>
  <si>
    <t xml:space="preserve">المنشية </t>
  </si>
  <si>
    <t>الاربعاء : 24/06/2026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</si>
  <si>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</si>
  <si>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واصل KF9</t>
  </si>
  <si>
    <t>اية الجويحان</t>
  </si>
  <si>
    <t>لثنية</t>
  </si>
  <si>
    <t>دايموند 2 طن</t>
  </si>
  <si>
    <t>الخميس : 25/06/2026</t>
  </si>
  <si>
    <t>السبت : 27/06/2026</t>
  </si>
  <si>
    <t>غور الصافي</t>
  </si>
  <si>
    <t xml:space="preserve">دايموند 2 طن </t>
  </si>
  <si>
    <t xml:space="preserve">10 ديزل </t>
  </si>
  <si>
    <t xml:space="preserve"> عنود ام شهم </t>
  </si>
  <si>
    <t>الاحد : 28/06/2026</t>
  </si>
  <si>
    <t>المزار</t>
  </si>
  <si>
    <t xml:space="preserve">يوسف الطراونة </t>
  </si>
  <si>
    <t xml:space="preserve">المدادحة </t>
  </si>
  <si>
    <t xml:space="preserve">زحوم </t>
  </si>
  <si>
    <t xml:space="preserve">هاير دايموند 1 طن </t>
  </si>
  <si>
    <t xml:space="preserve">لم ياخذ فاتورة </t>
  </si>
  <si>
    <t>بريميوم 1.5 طن / خ</t>
  </si>
  <si>
    <t>الاثنين : 29/06/2026</t>
  </si>
  <si>
    <t xml:space="preserve">ابو جواد </t>
  </si>
  <si>
    <t xml:space="preserve">مرود </t>
  </si>
  <si>
    <t xml:space="preserve">بريميوم 1.5 طن </t>
  </si>
  <si>
    <t>بعد ال 1</t>
  </si>
  <si>
    <t>الثلاثاء : 30/06/2026</t>
  </si>
  <si>
    <t xml:space="preserve">عوض بني عطية </t>
  </si>
  <si>
    <t xml:space="preserve">القطرانة الدفاع </t>
  </si>
  <si>
    <t xml:space="preserve">هاير بريميوم 2 طن </t>
  </si>
  <si>
    <t xml:space="preserve">هاير دايموند 2 طن </t>
  </si>
  <si>
    <t>المشيرفة / الهواري</t>
  </si>
  <si>
    <t>جودت السحيمات</t>
  </si>
  <si>
    <t xml:space="preserve">الباقي الاثنين </t>
  </si>
  <si>
    <t>الاربعاء : 01/07/2026</t>
  </si>
  <si>
    <t xml:space="preserve">عبدالله المبيضين </t>
  </si>
  <si>
    <t>زحوم</t>
  </si>
  <si>
    <t>بريميوم 1 طن</t>
  </si>
  <si>
    <t>فرحان الرواشدة</t>
  </si>
  <si>
    <t>كازية الذراع الغور</t>
  </si>
  <si>
    <t xml:space="preserve">هاير دايموند 1.5 طن </t>
  </si>
  <si>
    <t>ذمة</t>
  </si>
  <si>
    <t xml:space="preserve">عارف الطراونة </t>
  </si>
  <si>
    <t>المزار العمقة</t>
  </si>
  <si>
    <t xml:space="preserve">كليفيت 1 طن  </t>
  </si>
  <si>
    <t xml:space="preserve">كليفيت 1.5 طن  </t>
  </si>
  <si>
    <t>الخميس : 02/07/2026</t>
  </si>
  <si>
    <t>السبت : 04/07/2026</t>
  </si>
  <si>
    <t>مؤمن الطراونة</t>
  </si>
  <si>
    <t>المزار الجعفرية</t>
  </si>
  <si>
    <t xml:space="preserve">هاير بريميوم 1 طن </t>
  </si>
  <si>
    <t>ضمرة طارق ضمرات</t>
  </si>
  <si>
    <t xml:space="preserve">العدنانية </t>
  </si>
  <si>
    <t>الاحد : 05/07/2026</t>
  </si>
  <si>
    <t xml:space="preserve">جينيرال برو 1.5 طن </t>
  </si>
  <si>
    <t>شيك</t>
  </si>
  <si>
    <t>محي</t>
  </si>
  <si>
    <t>مسجد محي</t>
  </si>
  <si>
    <t>ورشة تاسيس</t>
  </si>
  <si>
    <t>الثلاثاء : 07/07/2026</t>
  </si>
  <si>
    <t>الاثنين : 06/07/2026</t>
  </si>
  <si>
    <t>احمد ختاتنه</t>
  </si>
  <si>
    <t>عي</t>
  </si>
  <si>
    <t>هاير دايموند 1طن*1 +1.5 طن*1</t>
  </si>
  <si>
    <t>سامر الرواشدة</t>
  </si>
  <si>
    <t>ذات راس</t>
  </si>
  <si>
    <t xml:space="preserve">فروست 2 طن </t>
  </si>
  <si>
    <t>شامل كت تركيب</t>
  </si>
  <si>
    <t>الخميس : 09/07/2026</t>
  </si>
  <si>
    <t>الاربعاء : 08/07/2026</t>
  </si>
  <si>
    <t>السبت : 11/07/2026</t>
  </si>
  <si>
    <t xml:space="preserve">هاير ريفيف 1 طن </t>
  </si>
  <si>
    <t xml:space="preserve">اخر الشهر </t>
  </si>
  <si>
    <t>د.احمد خالد الطراونه</t>
  </si>
  <si>
    <t>المرج_مسجد الشهداء</t>
  </si>
  <si>
    <t>الاحد : 12/07/2026</t>
  </si>
  <si>
    <t>ام محمد</t>
  </si>
  <si>
    <t>اشارة العسكري</t>
  </si>
  <si>
    <t>هاير دايموند 1.5 طن</t>
  </si>
  <si>
    <t>ااثنين : 13/07/2026</t>
  </si>
  <si>
    <t>عبدالله بني عطية</t>
  </si>
  <si>
    <t xml:space="preserve">القصر </t>
  </si>
  <si>
    <t>ضياء عاكف</t>
  </si>
  <si>
    <t xml:space="preserve">هاير بريميوم 1.5 طن </t>
  </si>
  <si>
    <t>الثلاثاء : 14/07/2026</t>
  </si>
  <si>
    <t>الاربعاء : 15/07/2026</t>
  </si>
  <si>
    <t>شركة وهد الجنوب</t>
  </si>
  <si>
    <t>الغور</t>
  </si>
  <si>
    <t>التركيب</t>
  </si>
  <si>
    <t>الاحد : 19/07/2026</t>
  </si>
  <si>
    <t>الجدعه</t>
  </si>
  <si>
    <t>هاير بريميوم 1.5</t>
  </si>
  <si>
    <t>هاير دايموند 1 طن</t>
  </si>
  <si>
    <t>الصبحيات</t>
  </si>
  <si>
    <t>مازن</t>
  </si>
  <si>
    <t>اشرف المصارة</t>
  </si>
  <si>
    <t>عبدالله علي البستنجي</t>
  </si>
  <si>
    <t>ؤ</t>
  </si>
  <si>
    <t>الاثنين : 20/07/2026</t>
  </si>
  <si>
    <t>الثلاثاء : 21/07/2026</t>
  </si>
  <si>
    <t xml:space="preserve">عمر الاغوات </t>
  </si>
  <si>
    <t xml:space="preserve">الكرك الثنية </t>
  </si>
  <si>
    <t xml:space="preserve">معاوية ابو حامدة </t>
  </si>
  <si>
    <t>المرج</t>
  </si>
  <si>
    <t>الاربعاء</t>
  </si>
  <si>
    <t>الاربعاء : 22/07/2026</t>
  </si>
  <si>
    <t xml:space="preserve">ناصر المعايطة </t>
  </si>
  <si>
    <t>المرج  بانوراما</t>
  </si>
  <si>
    <t>هاير بيرميوم 1.5 طن</t>
  </si>
  <si>
    <t>الزبون رجع +</t>
  </si>
  <si>
    <t>معاذ الكساسبة</t>
  </si>
  <si>
    <t>الثنية</t>
  </si>
  <si>
    <t xml:space="preserve">بلال الصعوب </t>
  </si>
  <si>
    <t>هاير بريميوم 1 طن</t>
  </si>
  <si>
    <t>يوسف</t>
  </si>
  <si>
    <t>الخميس : 23/07/2026</t>
  </si>
  <si>
    <t>السبت : 25/07/2026</t>
  </si>
  <si>
    <t xml:space="preserve">الثنية </t>
  </si>
  <si>
    <t>جينيرال برو 2 طن</t>
  </si>
  <si>
    <t>الاحد : 26/07/2026</t>
  </si>
  <si>
    <t>ام عبدالله الكفاوين</t>
  </si>
  <si>
    <t>مامون</t>
  </si>
  <si>
    <t>الجفر</t>
  </si>
  <si>
    <t>احمد الهريشات</t>
  </si>
  <si>
    <t>الطفيلة وادي زيدد</t>
  </si>
  <si>
    <t>جري 2 طن كليفيا</t>
  </si>
  <si>
    <t>اسيل بريسات</t>
  </si>
  <si>
    <t>ذات راس جامع الانصار</t>
  </si>
  <si>
    <t xml:space="preserve">جينيرال برو 1 طن </t>
  </si>
  <si>
    <t>صالح المحادين</t>
  </si>
  <si>
    <t>الطفيلة العيص</t>
  </si>
  <si>
    <t>رجع</t>
  </si>
  <si>
    <t xml:space="preserve">بدون تركيب </t>
  </si>
  <si>
    <t>لم يتم البيع</t>
  </si>
  <si>
    <t>الاثنين : 27/07/2026</t>
  </si>
  <si>
    <t>ابراهيم تيسير القطاونة</t>
  </si>
  <si>
    <t>جينيرال ديلوكس 1 طن</t>
  </si>
  <si>
    <t>كفالة</t>
  </si>
  <si>
    <t>حمزة الشمايلة</t>
  </si>
  <si>
    <t>الشهابية</t>
  </si>
  <si>
    <t xml:space="preserve">يوسف الصعوب </t>
  </si>
  <si>
    <t>وادي اللكرك</t>
  </si>
  <si>
    <t>هاير ريفيف  1 طن</t>
  </si>
  <si>
    <t xml:space="preserve">د. سيف بديرات </t>
  </si>
  <si>
    <t xml:space="preserve">مؤتة </t>
  </si>
  <si>
    <t>ساجدة المجالي</t>
  </si>
  <si>
    <t>حمودده</t>
  </si>
  <si>
    <t>الثلاثاء : 28/07/2026</t>
  </si>
  <si>
    <t xml:space="preserve">مفيد عودة الله </t>
  </si>
  <si>
    <t xml:space="preserve">مؤتة شويح </t>
  </si>
  <si>
    <t>الاربعاء : 29/07/2026</t>
  </si>
  <si>
    <t>صبر قبلان</t>
  </si>
  <si>
    <t>مؤتة</t>
  </si>
  <si>
    <t>جعفر النجاجرة</t>
  </si>
  <si>
    <t>هاير بريميوم 1.5 طن</t>
  </si>
  <si>
    <t xml:space="preserve"> مش  محاااسب حح  </t>
  </si>
  <si>
    <t>محمد التيهي</t>
  </si>
  <si>
    <t>الاصيل مول</t>
  </si>
  <si>
    <t>مدين</t>
  </si>
  <si>
    <t>هير بريميوم 1 طن + 1.5 دايموند</t>
  </si>
  <si>
    <t xml:space="preserve">محمد القضاة </t>
  </si>
  <si>
    <t>قريفلة</t>
  </si>
  <si>
    <t>ام عبدالله كفاوين</t>
  </si>
  <si>
    <t>ثنية</t>
  </si>
  <si>
    <t>الخميس : 30/07/2026</t>
  </si>
  <si>
    <t xml:space="preserve">ايمن النجاجرة </t>
  </si>
  <si>
    <t>هاير بريميوم 1 طن + 1.5 طن</t>
  </si>
  <si>
    <t>الساعة : 3</t>
  </si>
  <si>
    <t>نزيه المعايطة</t>
  </si>
  <si>
    <t>هاير بريميوم 1.5 طن + دايموند 1 طن</t>
  </si>
  <si>
    <t>الساعة : 6</t>
  </si>
  <si>
    <t>ابو فيصل</t>
  </si>
  <si>
    <t xml:space="preserve">العبدلية </t>
  </si>
  <si>
    <t>اسامه الخرشه</t>
  </si>
  <si>
    <t xml:space="preserve">المزار </t>
  </si>
  <si>
    <t>قيس البشابشة</t>
  </si>
  <si>
    <t>الكرك المسجد العمري</t>
  </si>
  <si>
    <t xml:space="preserve">حسين الضلاعين </t>
  </si>
  <si>
    <t>جوزا</t>
  </si>
  <si>
    <t>احمد الختاتنه</t>
  </si>
  <si>
    <t>يزيد الخم</t>
  </si>
  <si>
    <t>قريفلا</t>
  </si>
  <si>
    <t>وائل الضمور</t>
  </si>
  <si>
    <t xml:space="preserve">المرج </t>
  </si>
  <si>
    <t xml:space="preserve">مامون </t>
  </si>
  <si>
    <t>جينيرال ديلوكس1 طن</t>
  </si>
  <si>
    <t>ناصر الخطاطبة</t>
  </si>
  <si>
    <t>ايمن السيد</t>
  </si>
  <si>
    <t>لويسية</t>
  </si>
  <si>
    <t>السبت : 01/08/2026</t>
  </si>
  <si>
    <t>الاحد : 02/08/2026</t>
  </si>
  <si>
    <t>جينيرال برو 1.5 طن</t>
  </si>
  <si>
    <t>اسامة بستنجي</t>
  </si>
  <si>
    <t xml:space="preserve">ع 4 </t>
  </si>
  <si>
    <t>هاير دايموند 1.5 طن + مروحة</t>
  </si>
  <si>
    <t xml:space="preserve">هادي حكمت </t>
  </si>
  <si>
    <t>هاشم الصعوب</t>
  </si>
  <si>
    <t>بسام الضمور</t>
  </si>
  <si>
    <t>الثلاثاء : 04/08/2026</t>
  </si>
  <si>
    <t>المرج / الرابية</t>
  </si>
  <si>
    <t>احمد</t>
  </si>
  <si>
    <t>سميرة الشوامرة</t>
  </si>
  <si>
    <t>ابو حمور</t>
  </si>
  <si>
    <t>جري كليفيا 2 طن</t>
  </si>
  <si>
    <t>سائد العيدي</t>
  </si>
  <si>
    <t>مرود</t>
  </si>
  <si>
    <t>نسمه 1 طن</t>
  </si>
  <si>
    <t>الاربعاء : 05/08/2026</t>
  </si>
  <si>
    <t>فقوع</t>
  </si>
  <si>
    <t xml:space="preserve">نسمه 1.5 طن </t>
  </si>
  <si>
    <t>عثمان الذيبات</t>
  </si>
  <si>
    <t xml:space="preserve">كيلون 1.5 طن </t>
  </si>
  <si>
    <t>الاثنين : 03/08/2026</t>
  </si>
  <si>
    <t xml:space="preserve">خلدون الصرايرة </t>
  </si>
  <si>
    <t>سول</t>
  </si>
  <si>
    <t xml:space="preserve">دايموند 1 طن </t>
  </si>
  <si>
    <t>مشعل ابو الخيل</t>
  </si>
  <si>
    <t xml:space="preserve"> </t>
  </si>
  <si>
    <t>ابو محمد العيدي</t>
  </si>
  <si>
    <t>الكفاوين</t>
  </si>
  <si>
    <t xml:space="preserve">نزيه المعايطة </t>
  </si>
  <si>
    <t>70 كت</t>
  </si>
  <si>
    <t xml:space="preserve">عبدالله الشمايلة </t>
  </si>
  <si>
    <t>الحويه</t>
  </si>
  <si>
    <t xml:space="preserve">نسمه 1 طن </t>
  </si>
  <si>
    <t xml:space="preserve">طارق المعايطة </t>
  </si>
  <si>
    <t>المنشية</t>
  </si>
  <si>
    <t>الخميس  : 06/08/2026</t>
  </si>
  <si>
    <t>الجمعة  : 07/08/2026</t>
  </si>
  <si>
    <t xml:space="preserve">هاير بيرميوم 2 طن </t>
  </si>
  <si>
    <t xml:space="preserve">جينيرال ديلوكس 1 طن </t>
  </si>
  <si>
    <t>السبت  : 08/08/2026</t>
  </si>
  <si>
    <t>عثمان الذنيبات</t>
  </si>
  <si>
    <t>فك وتركيب</t>
  </si>
  <si>
    <t>بدل كيبلون</t>
  </si>
  <si>
    <t xml:space="preserve">ام رائد </t>
  </si>
  <si>
    <t>صيانة</t>
  </si>
  <si>
    <t>نسمه 1.5 طن</t>
  </si>
  <si>
    <t>ابو سليمان الحمايده</t>
  </si>
  <si>
    <t xml:space="preserve">احمد العضايلة </t>
  </si>
  <si>
    <t xml:space="preserve">سفيان الضلاعين </t>
  </si>
  <si>
    <t xml:space="preserve">الغور </t>
  </si>
  <si>
    <t>السبت  : 09/08/2026</t>
  </si>
  <si>
    <t>الاثنين  : 10/08/2026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</si>
</sst>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178"/>
      <scheme val="minor"/>
    </font>
    <font>
      <b/>
      <sz val="18"/>
      <color theme="1"/>
      <name val="Arial Black"/>
      <family val="2"/>
    </font>
    <font>
      <b/>
      <sz val="16"/>
      <color theme="1"/>
      <name val="Arial Black"/>
      <family val="2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sz val="16"/>
      <color theme="1"/>
      <name val="Calibri"/>
      <family val="2"/>
      <charset val="178"/>
      <scheme val="minor"/>
    </font>
    <font>
      <b/>
      <sz val="10"/>
      <color theme="1"/>
      <name val="Arial Black"/>
      <family val="2"/>
    </font>
    <font>
      <b/>
      <sz val="11"/>
      <color theme="1"/>
      <name val="Arial Rounded MT Bold"/>
      <family val="2"/>
    </font>
    <font>
      <b/>
      <sz val="14"/>
      <color theme="1"/>
      <name val="Calibri"/>
      <family val="2"/>
      <charset val="178"/>
      <scheme val="minor"/>
    </font>
    <font>
      <b/>
      <sz val="14"/>
      <name val="Arial Black"/>
      <family val="2"/>
    </font>
    <font>
      <b/>
      <sz val="12"/>
      <name val="Arial Black"/>
      <family val="2"/>
    </font>
    <font>
      <b/>
      <sz val="11"/>
      <color theme="1"/>
      <name val="Arial Black"/>
      <family val="2"/>
    </font>
    <font>
      <b/>
      <sz val="10"/>
      <name val="Arial Black"/>
      <family val="2"/>
    </font>
    <font>
      <b/>
      <sz val="12"/>
      <color rgb="FFFF0000"/>
      <name val="Arial Black"/>
      <family val="2"/>
    </font>
    <font>
      <sz val="14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6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0" xfId="0" applyFont="1" applyFill="1"/>
    <xf numFmtId="0" fontId="9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8" fillId="2" borderId="6" xfId="0" applyFont="1" applyFill="1" applyBorder="1"/>
    <xf numFmtId="0" fontId="7" fillId="0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G8" sqref="G8"/>
    </sheetView>
  </sheetViews>
  <sheetFormatPr defaultRowHeight="15" x14ac:dyDescent="0.25"/>
  <cols>
    <col min="1" max="1" width="13.85546875" customWidth="1"/>
    <col min="2" max="2" width="10.7109375" customWidth="1"/>
    <col min="4" max="4" width="12.7109375" customWidth="1"/>
    <col min="5" max="5" width="22.5703125" customWidth="1"/>
    <col min="6" max="6" width="12" customWidth="1"/>
    <col min="7" max="7" width="14.42578125" customWidth="1"/>
    <col min="8" max="8" width="20.140625" customWidth="1"/>
    <col min="9" max="9" width="17.28515625" customWidth="1"/>
    <col min="10" max="10" width="1" customWidth="1"/>
  </cols>
  <sheetData>
    <row r="1" spans="1:10" ht="27.75" thickBot="1" x14ac:dyDescent="0.5500000000000000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0" s="13" customFormat="1" ht="22.5" x14ac:dyDescent="0.45">
      <c r="A3" s="14" t="s">
        <v>15</v>
      </c>
      <c r="B3" s="15">
        <v>400</v>
      </c>
      <c r="C3" s="14">
        <v>145</v>
      </c>
      <c r="D3" s="16">
        <v>1</v>
      </c>
      <c r="E3" s="17" t="s">
        <v>16</v>
      </c>
      <c r="F3" s="15" t="s">
        <v>17</v>
      </c>
      <c r="G3" s="15" t="s">
        <v>18</v>
      </c>
      <c r="H3" s="18">
        <v>795899898</v>
      </c>
      <c r="I3" s="19" t="s">
        <v>19</v>
      </c>
      <c r="J3" s="5"/>
    </row>
    <row r="4" spans="1:10" s="13" customFormat="1" ht="22.5" x14ac:dyDescent="0.45">
      <c r="A4" s="22" t="s">
        <v>28</v>
      </c>
      <c r="B4" s="15"/>
      <c r="C4" s="14">
        <v>475</v>
      </c>
      <c r="D4" s="16">
        <v>1</v>
      </c>
      <c r="E4" s="20" t="s">
        <v>24</v>
      </c>
      <c r="F4" s="15" t="s">
        <v>17</v>
      </c>
      <c r="G4" s="15" t="s">
        <v>25</v>
      </c>
      <c r="H4" s="18"/>
      <c r="I4" s="19"/>
      <c r="J4" s="8"/>
    </row>
    <row r="5" spans="1:10" s="13" customFormat="1" ht="22.5" x14ac:dyDescent="0.45">
      <c r="A5" s="14"/>
      <c r="B5" s="15"/>
      <c r="C5" s="14"/>
      <c r="D5" s="16"/>
      <c r="E5" s="20"/>
      <c r="F5" s="15"/>
      <c r="G5" s="15"/>
      <c r="H5" s="18"/>
      <c r="I5" s="19"/>
      <c r="J5" s="8"/>
    </row>
    <row r="6" spans="1:10" s="13" customFormat="1" ht="22.5" x14ac:dyDescent="0.45">
      <c r="A6" s="14"/>
      <c r="B6" s="15"/>
      <c r="C6" s="14"/>
      <c r="D6" s="16"/>
      <c r="E6" s="20"/>
      <c r="F6" s="15"/>
      <c r="G6" s="15"/>
      <c r="H6" s="18"/>
      <c r="I6" s="19"/>
      <c r="J6" s="8"/>
    </row>
    <row r="7" spans="1:10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0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0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0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0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0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0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0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0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0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B24" sqref="B24"/>
    </sheetView>
  </sheetViews>
  <sheetFormatPr defaultRowHeight="15" x14ac:dyDescent="0.25"/>
  <cols>
    <col min="1" max="1" width="12" customWidth="1"/>
    <col min="5" max="5" width="30.7109375" customWidth="1"/>
    <col min="6" max="6" width="12" customWidth="1"/>
    <col min="7" max="7" width="14.4257812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26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10</v>
      </c>
      <c r="B3" s="8">
        <v>680</v>
      </c>
      <c r="C3" s="9">
        <v>500</v>
      </c>
      <c r="D3" s="10">
        <v>3</v>
      </c>
      <c r="E3" s="5" t="s">
        <v>11</v>
      </c>
      <c r="F3" s="8" t="s">
        <v>12</v>
      </c>
      <c r="G3" s="8" t="s">
        <v>13</v>
      </c>
      <c r="H3" s="11">
        <v>790981237</v>
      </c>
      <c r="I3" s="12" t="s">
        <v>14</v>
      </c>
      <c r="J3" s="5"/>
    </row>
    <row r="4" spans="1:15" s="13" customFormat="1" ht="22.5" x14ac:dyDescent="0.45">
      <c r="A4" s="14" t="s">
        <v>20</v>
      </c>
      <c r="B4" s="15">
        <v>300</v>
      </c>
      <c r="C4" s="14">
        <v>80</v>
      </c>
      <c r="D4" s="16">
        <v>1</v>
      </c>
      <c r="E4" s="20" t="s">
        <v>21</v>
      </c>
      <c r="F4" s="15" t="s">
        <v>17</v>
      </c>
      <c r="G4" s="15" t="s">
        <v>22</v>
      </c>
      <c r="H4" s="18">
        <v>791489776</v>
      </c>
      <c r="I4" s="19" t="s">
        <v>23</v>
      </c>
      <c r="J4" s="5"/>
      <c r="O4" s="13" t="s">
        <v>27</v>
      </c>
    </row>
    <row r="5" spans="1:15" s="13" customFormat="1" ht="22.5" x14ac:dyDescent="0.45">
      <c r="A5" s="14"/>
      <c r="B5" s="15"/>
      <c r="C5" s="14"/>
      <c r="D5" s="16"/>
      <c r="E5" s="20"/>
      <c r="F5" s="15"/>
      <c r="G5" s="15"/>
      <c r="H5" s="18"/>
      <c r="I5" s="19"/>
      <c r="J5" s="8"/>
    </row>
    <row r="6" spans="1:15" s="13" customFormat="1" ht="22.5" x14ac:dyDescent="0.45">
      <c r="A6" s="14"/>
      <c r="B6" s="15"/>
      <c r="C6" s="14"/>
      <c r="D6" s="16"/>
      <c r="E6" s="20"/>
      <c r="F6" s="15"/>
      <c r="G6" s="15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P2" sqref="P2"/>
    </sheetView>
  </sheetViews>
  <sheetFormatPr defaultRowHeight="15" x14ac:dyDescent="0.25"/>
  <cols>
    <col min="1" max="1" width="12" customWidth="1"/>
    <col min="5" max="5" width="30.7109375" customWidth="1"/>
    <col min="6" max="6" width="12" customWidth="1"/>
    <col min="7" max="7" width="14.4257812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32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>
        <v>500</v>
      </c>
      <c r="C3" s="9"/>
      <c r="D3" s="10">
        <v>1</v>
      </c>
      <c r="E3" s="5" t="s">
        <v>31</v>
      </c>
      <c r="F3" s="8" t="s">
        <v>17</v>
      </c>
      <c r="G3" s="8" t="s">
        <v>30</v>
      </c>
      <c r="H3" s="11">
        <v>790749606</v>
      </c>
      <c r="I3" s="12" t="s">
        <v>29</v>
      </c>
      <c r="J3" s="5"/>
    </row>
    <row r="4" spans="1:15" s="13" customFormat="1" ht="22.5" x14ac:dyDescent="0.45">
      <c r="A4" s="14"/>
      <c r="B4" s="15"/>
      <c r="C4" s="14"/>
      <c r="D4" s="16"/>
      <c r="E4" s="20"/>
      <c r="F4" s="15"/>
      <c r="G4" s="15"/>
      <c r="H4" s="18"/>
      <c r="I4" s="19"/>
      <c r="J4" s="5"/>
      <c r="O4" s="13" t="s">
        <v>27</v>
      </c>
    </row>
    <row r="5" spans="1:15" s="13" customFormat="1" ht="22.5" x14ac:dyDescent="0.45">
      <c r="A5" s="14"/>
      <c r="B5" s="15"/>
      <c r="C5" s="14"/>
      <c r="D5" s="16"/>
      <c r="E5" s="20"/>
      <c r="F5" s="15"/>
      <c r="G5" s="15"/>
      <c r="H5" s="18"/>
      <c r="I5" s="19"/>
      <c r="J5" s="8"/>
    </row>
    <row r="6" spans="1:15" s="13" customFormat="1" ht="22.5" x14ac:dyDescent="0.45">
      <c r="A6" s="14"/>
      <c r="B6" s="15"/>
      <c r="C6" s="14"/>
      <c r="D6" s="16"/>
      <c r="E6" s="20"/>
      <c r="F6" s="15"/>
      <c r="G6" s="15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F33" sqref="F33"/>
    </sheetView>
  </sheetViews>
  <sheetFormatPr defaultRowHeight="15" x14ac:dyDescent="0.25"/>
  <cols>
    <col min="1" max="1" width="12" customWidth="1"/>
    <col min="5" max="5" width="30.7109375" customWidth="1"/>
    <col min="6" max="6" width="12" customWidth="1"/>
    <col min="7" max="7" width="14.4257812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33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36</v>
      </c>
      <c r="B3" s="8">
        <v>510</v>
      </c>
      <c r="C3" s="9"/>
      <c r="D3" s="10">
        <v>1</v>
      </c>
      <c r="E3" s="5" t="s">
        <v>35</v>
      </c>
      <c r="F3" s="8" t="s">
        <v>17</v>
      </c>
      <c r="G3" s="8" t="s">
        <v>34</v>
      </c>
      <c r="H3" s="11">
        <v>7796462315</v>
      </c>
      <c r="I3" s="12" t="s">
        <v>37</v>
      </c>
      <c r="J3" s="5"/>
    </row>
    <row r="4" spans="1:15" s="13" customFormat="1" ht="22.5" x14ac:dyDescent="0.45">
      <c r="A4" s="14"/>
      <c r="B4" s="15"/>
      <c r="C4" s="14"/>
      <c r="D4" s="16"/>
      <c r="E4" s="20"/>
      <c r="F4" s="15"/>
      <c r="G4" s="15"/>
      <c r="H4" s="18"/>
      <c r="I4" s="19"/>
      <c r="J4" s="5"/>
      <c r="O4" s="13" t="s">
        <v>27</v>
      </c>
    </row>
    <row r="5" spans="1:15" s="13" customFormat="1" ht="22.5" x14ac:dyDescent="0.45">
      <c r="A5" s="14"/>
      <c r="B5" s="15"/>
      <c r="C5" s="14"/>
      <c r="D5" s="16"/>
      <c r="E5" s="20"/>
      <c r="F5" s="15"/>
      <c r="G5" s="15"/>
      <c r="H5" s="18"/>
      <c r="I5" s="19"/>
      <c r="J5" s="8"/>
    </row>
    <row r="6" spans="1:15" s="13" customFormat="1" ht="22.5" x14ac:dyDescent="0.45">
      <c r="A6" s="14"/>
      <c r="B6" s="15"/>
      <c r="C6" s="14"/>
      <c r="D6" s="16"/>
      <c r="E6" s="20"/>
      <c r="F6" s="15"/>
      <c r="G6" s="15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G4" sqref="G4"/>
    </sheetView>
  </sheetViews>
  <sheetFormatPr defaultRowHeight="15" x14ac:dyDescent="0.25"/>
  <cols>
    <col min="1" max="1" width="12" customWidth="1"/>
    <col min="5" max="5" width="30.7109375" customWidth="1"/>
    <col min="6" max="6" width="12" customWidth="1"/>
    <col min="7" max="7" width="14.4257812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38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44</v>
      </c>
      <c r="B3" s="8"/>
      <c r="C3" s="9">
        <v>450</v>
      </c>
      <c r="D3" s="10">
        <v>1</v>
      </c>
      <c r="E3" s="5" t="s">
        <v>45</v>
      </c>
      <c r="F3" s="8" t="s">
        <v>12</v>
      </c>
      <c r="G3" s="8" t="s">
        <v>39</v>
      </c>
      <c r="H3" s="11">
        <v>797639905</v>
      </c>
      <c r="I3" s="12" t="s">
        <v>40</v>
      </c>
      <c r="J3" s="5"/>
    </row>
    <row r="4" spans="1:15" s="13" customFormat="1" ht="22.5" x14ac:dyDescent="0.45">
      <c r="A4" s="14"/>
      <c r="B4" s="15"/>
      <c r="C4" s="14">
        <v>300</v>
      </c>
      <c r="D4" s="16">
        <v>1</v>
      </c>
      <c r="E4" s="17" t="s">
        <v>43</v>
      </c>
      <c r="F4" s="15" t="s">
        <v>12</v>
      </c>
      <c r="G4" s="15" t="s">
        <v>42</v>
      </c>
      <c r="H4" s="18">
        <v>797001153</v>
      </c>
      <c r="I4" s="19" t="s">
        <v>41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A19" workbookViewId="0">
      <selection activeCell="O7" sqref="O7"/>
    </sheetView>
  </sheetViews>
  <sheetFormatPr defaultRowHeight="15" x14ac:dyDescent="0.25"/>
  <cols>
    <col min="1" max="1" width="12" customWidth="1"/>
    <col min="5" max="5" width="30.7109375" customWidth="1"/>
    <col min="6" max="6" width="12" customWidth="1"/>
    <col min="7" max="7" width="14.4257812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46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50</v>
      </c>
      <c r="B3" s="8">
        <v>200</v>
      </c>
      <c r="C3" s="9">
        <v>250</v>
      </c>
      <c r="D3" s="10">
        <v>1</v>
      </c>
      <c r="E3" s="5" t="s">
        <v>49</v>
      </c>
      <c r="F3" s="8" t="s">
        <v>12</v>
      </c>
      <c r="G3" s="8" t="s">
        <v>48</v>
      </c>
      <c r="H3" s="11">
        <v>797379639</v>
      </c>
      <c r="I3" s="12" t="s">
        <v>47</v>
      </c>
      <c r="J3" s="5"/>
    </row>
    <row r="4" spans="1:15" s="13" customFormat="1" ht="22.5" x14ac:dyDescent="0.45">
      <c r="A4" s="14"/>
      <c r="B4" s="15"/>
      <c r="C4" s="14"/>
      <c r="D4" s="16"/>
      <c r="E4" s="17"/>
      <c r="F4" s="15"/>
      <c r="G4" s="15"/>
      <c r="H4" s="18"/>
      <c r="I4" s="19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sqref="A1:J16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51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>
        <v>550</v>
      </c>
      <c r="D3" s="10">
        <v>1</v>
      </c>
      <c r="E3" s="5" t="s">
        <v>54</v>
      </c>
      <c r="F3" s="8" t="s">
        <v>12</v>
      </c>
      <c r="G3" s="8" t="s">
        <v>53</v>
      </c>
      <c r="H3" s="11">
        <v>795025917</v>
      </c>
      <c r="I3" s="12" t="s">
        <v>52</v>
      </c>
      <c r="J3" s="5"/>
    </row>
    <row r="4" spans="1:15" s="13" customFormat="1" ht="22.5" x14ac:dyDescent="0.45">
      <c r="A4" s="14" t="s">
        <v>58</v>
      </c>
      <c r="B4" s="15">
        <v>450</v>
      </c>
      <c r="C4" s="14">
        <v>50</v>
      </c>
      <c r="D4" s="16">
        <v>1</v>
      </c>
      <c r="E4" s="19" t="s">
        <v>55</v>
      </c>
      <c r="F4" s="15" t="s">
        <v>12</v>
      </c>
      <c r="G4" s="15" t="s">
        <v>56</v>
      </c>
      <c r="H4" s="18">
        <v>798434431</v>
      </c>
      <c r="I4" s="19" t="s">
        <v>57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I5" sqref="I5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59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>
        <v>350</v>
      </c>
      <c r="D3" s="10">
        <v>1</v>
      </c>
      <c r="E3" s="5" t="s">
        <v>62</v>
      </c>
      <c r="F3" s="8" t="s">
        <v>12</v>
      </c>
      <c r="G3" s="8" t="s">
        <v>61</v>
      </c>
      <c r="H3" s="11">
        <v>790573409</v>
      </c>
      <c r="I3" s="12" t="s">
        <v>60</v>
      </c>
      <c r="J3" s="5"/>
    </row>
    <row r="4" spans="1:15" s="13" customFormat="1" ht="22.5" x14ac:dyDescent="0.45">
      <c r="A4" s="14" t="s">
        <v>66</v>
      </c>
      <c r="B4" s="15">
        <v>380</v>
      </c>
      <c r="C4" s="14"/>
      <c r="D4" s="16">
        <v>1</v>
      </c>
      <c r="E4" s="19" t="s">
        <v>65</v>
      </c>
      <c r="F4" s="15" t="s">
        <v>12</v>
      </c>
      <c r="G4" s="15" t="s">
        <v>64</v>
      </c>
      <c r="H4" s="18">
        <v>796180101</v>
      </c>
      <c r="I4" s="19" t="s">
        <v>63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N5" sqref="N5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71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>
        <f>370*2</f>
        <v>740</v>
      </c>
      <c r="D3" s="10">
        <v>2</v>
      </c>
      <c r="E3" s="5" t="s">
        <v>69</v>
      </c>
      <c r="F3" s="8" t="s">
        <v>17</v>
      </c>
      <c r="G3" s="8" t="s">
        <v>68</v>
      </c>
      <c r="H3" s="11">
        <v>796622932</v>
      </c>
      <c r="I3" s="12" t="s">
        <v>67</v>
      </c>
      <c r="J3" s="5"/>
    </row>
    <row r="4" spans="1:15" s="13" customFormat="1" ht="22.5" x14ac:dyDescent="0.45">
      <c r="A4" s="14"/>
      <c r="B4" s="15"/>
      <c r="C4" s="14">
        <f>470*2</f>
        <v>940</v>
      </c>
      <c r="D4" s="10">
        <v>2</v>
      </c>
      <c r="E4" s="5" t="s">
        <v>70</v>
      </c>
      <c r="F4" s="8" t="s">
        <v>17</v>
      </c>
      <c r="G4" s="8" t="s">
        <v>68</v>
      </c>
      <c r="H4" s="11">
        <v>796622932</v>
      </c>
      <c r="I4" s="12" t="s">
        <v>67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K8" sqref="K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72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>
        <v>350</v>
      </c>
      <c r="D3" s="10">
        <v>1</v>
      </c>
      <c r="E3" s="5" t="s">
        <v>75</v>
      </c>
      <c r="F3" s="8" t="s">
        <v>17</v>
      </c>
      <c r="G3" s="8" t="s">
        <v>74</v>
      </c>
      <c r="H3" s="11">
        <v>790834094</v>
      </c>
      <c r="I3" s="12" t="s">
        <v>73</v>
      </c>
      <c r="J3" s="5"/>
    </row>
    <row r="4" spans="1:15" s="13" customFormat="1" ht="22.5" x14ac:dyDescent="0.45">
      <c r="A4" s="14"/>
      <c r="B4" s="15"/>
      <c r="C4" s="14">
        <v>400</v>
      </c>
      <c r="D4" s="10">
        <v>1</v>
      </c>
      <c r="E4" s="5" t="s">
        <v>65</v>
      </c>
      <c r="F4" s="8" t="s">
        <v>17</v>
      </c>
      <c r="G4" s="8" t="s">
        <v>77</v>
      </c>
      <c r="H4" s="11">
        <v>799220441</v>
      </c>
      <c r="I4" s="12" t="s">
        <v>76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sqref="A1:J16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78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80</v>
      </c>
      <c r="B3" s="8"/>
      <c r="C3" s="9">
        <v>700</v>
      </c>
      <c r="D3" s="10">
        <v>2</v>
      </c>
      <c r="E3" s="5" t="s">
        <v>79</v>
      </c>
      <c r="F3" s="8" t="s">
        <v>17</v>
      </c>
      <c r="G3" s="8" t="s">
        <v>81</v>
      </c>
      <c r="H3" s="11"/>
      <c r="I3" s="12" t="s">
        <v>82</v>
      </c>
      <c r="J3" s="5"/>
    </row>
    <row r="4" spans="1:15" s="13" customFormat="1" ht="22.5" x14ac:dyDescent="0.45">
      <c r="A4" s="14"/>
      <c r="B4" s="15"/>
      <c r="C4" s="14"/>
      <c r="D4" s="10"/>
      <c r="E4" s="5"/>
      <c r="F4" s="8" t="s">
        <v>83</v>
      </c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I21" sqref="I21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85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/>
      <c r="D3" s="10"/>
      <c r="E3" s="5"/>
      <c r="F3" s="8"/>
      <c r="G3" s="8"/>
      <c r="H3" s="11"/>
      <c r="I3" s="12"/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Q7" sqref="Q7"/>
    </sheetView>
  </sheetViews>
  <sheetFormatPr defaultRowHeight="15" x14ac:dyDescent="0.25"/>
  <cols>
    <col min="1" max="1" width="15.5703125" customWidth="1"/>
    <col min="3" max="3" width="7" customWidth="1"/>
    <col min="4" max="4" width="8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84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8">
        <f>290+390</f>
        <v>680</v>
      </c>
      <c r="D3" s="10">
        <v>2</v>
      </c>
      <c r="E3" s="5" t="s">
        <v>88</v>
      </c>
      <c r="F3" s="8" t="s">
        <v>17</v>
      </c>
      <c r="G3" s="8" t="s">
        <v>87</v>
      </c>
      <c r="H3" s="11">
        <v>791875755</v>
      </c>
      <c r="I3" s="12" t="s">
        <v>86</v>
      </c>
      <c r="J3" s="5"/>
    </row>
    <row r="4" spans="1:15" s="13" customFormat="1" ht="22.5" x14ac:dyDescent="0.45">
      <c r="A4" s="14" t="s">
        <v>92</v>
      </c>
      <c r="B4" s="15">
        <v>455</v>
      </c>
      <c r="C4" s="14"/>
      <c r="D4" s="10">
        <v>1</v>
      </c>
      <c r="E4" s="5" t="s">
        <v>91</v>
      </c>
      <c r="F4" s="8" t="s">
        <v>17</v>
      </c>
      <c r="G4" s="8" t="s">
        <v>90</v>
      </c>
      <c r="H4" s="11">
        <v>792633376</v>
      </c>
      <c r="I4" s="12" t="s">
        <v>89</v>
      </c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sqref="A1:J1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94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/>
      <c r="D3" s="10"/>
      <c r="E3" s="5"/>
      <c r="F3" s="8"/>
      <c r="G3" s="8"/>
      <c r="H3" s="11"/>
      <c r="I3" s="12"/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sqref="A1:J1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93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/>
      <c r="D3" s="10"/>
      <c r="E3" s="5"/>
      <c r="F3" s="8"/>
      <c r="G3" s="8"/>
      <c r="H3" s="11"/>
      <c r="I3" s="12"/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G3" sqref="G3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95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97</v>
      </c>
      <c r="B3" s="8">
        <v>50</v>
      </c>
      <c r="C3" s="9">
        <v>200</v>
      </c>
      <c r="D3" s="10">
        <v>1</v>
      </c>
      <c r="E3" s="5" t="s">
        <v>96</v>
      </c>
      <c r="F3" s="8" t="s">
        <v>17</v>
      </c>
      <c r="G3" s="8" t="s">
        <v>99</v>
      </c>
      <c r="H3" s="11">
        <v>791121783</v>
      </c>
      <c r="I3" s="12" t="s">
        <v>98</v>
      </c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9" sqref="M9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100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>
        <v>400</v>
      </c>
      <c r="D3" s="10">
        <v>1</v>
      </c>
      <c r="E3" s="5" t="s">
        <v>103</v>
      </c>
      <c r="F3" s="8" t="s">
        <v>17</v>
      </c>
      <c r="G3" s="8" t="s">
        <v>102</v>
      </c>
      <c r="H3" s="11">
        <v>799511028</v>
      </c>
      <c r="I3" s="12" t="s">
        <v>101</v>
      </c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23"/>
      <c r="C5" s="23"/>
      <c r="D5" s="23"/>
      <c r="E5" s="23"/>
      <c r="F5" s="23"/>
      <c r="G5" s="23"/>
      <c r="H5" s="23"/>
      <c r="I5" s="23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Q9" sqref="Q9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104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>
        <f>400+400</f>
        <v>800</v>
      </c>
      <c r="C3" s="9"/>
      <c r="D3" s="10">
        <v>2</v>
      </c>
      <c r="E3" s="5" t="s">
        <v>65</v>
      </c>
      <c r="F3" s="8" t="s">
        <v>17</v>
      </c>
      <c r="G3" s="8" t="s">
        <v>106</v>
      </c>
      <c r="H3" s="11">
        <v>790881727</v>
      </c>
      <c r="I3" s="12" t="s">
        <v>105</v>
      </c>
      <c r="J3" s="5"/>
    </row>
    <row r="4" spans="1:15" s="13" customFormat="1" ht="22.5" x14ac:dyDescent="0.45">
      <c r="A4" s="14"/>
      <c r="B4" s="15">
        <v>300</v>
      </c>
      <c r="C4" s="14"/>
      <c r="D4" s="10">
        <v>1</v>
      </c>
      <c r="E4" s="5" t="s">
        <v>43</v>
      </c>
      <c r="F4" s="8" t="s">
        <v>17</v>
      </c>
      <c r="G4" s="8" t="s">
        <v>106</v>
      </c>
      <c r="H4" s="11">
        <v>790881727</v>
      </c>
      <c r="I4" s="12" t="s">
        <v>105</v>
      </c>
      <c r="J4" s="5"/>
      <c r="O4" s="13" t="s">
        <v>27</v>
      </c>
    </row>
    <row r="5" spans="1:15" s="13" customFormat="1" ht="22.5" x14ac:dyDescent="0.45">
      <c r="A5" s="14"/>
      <c r="B5" s="15">
        <v>450</v>
      </c>
      <c r="C5" s="23"/>
      <c r="D5" s="10">
        <v>1</v>
      </c>
      <c r="E5" s="5" t="s">
        <v>108</v>
      </c>
      <c r="F5" s="8" t="s">
        <v>17</v>
      </c>
      <c r="G5" s="8" t="s">
        <v>106</v>
      </c>
      <c r="H5" s="11">
        <v>797870187</v>
      </c>
      <c r="I5" s="12" t="s">
        <v>107</v>
      </c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S11" sqref="S11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109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9"/>
      <c r="D3" s="10"/>
      <c r="E3" s="5"/>
      <c r="F3" s="8"/>
      <c r="G3" s="8"/>
      <c r="H3" s="11"/>
      <c r="I3" s="12"/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23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3" sqref="A3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110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8">
        <v>530</v>
      </c>
      <c r="D3" s="10">
        <v>1</v>
      </c>
      <c r="E3" s="5" t="s">
        <v>55</v>
      </c>
      <c r="F3" s="8" t="s">
        <v>113</v>
      </c>
      <c r="G3" s="8" t="s">
        <v>112</v>
      </c>
      <c r="H3" s="11">
        <v>798378994</v>
      </c>
      <c r="I3" s="12" t="s">
        <v>111</v>
      </c>
      <c r="J3" s="5"/>
    </row>
    <row r="4" spans="1:15" s="13" customFormat="1" ht="22.5" x14ac:dyDescent="0.45">
      <c r="A4" s="14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23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17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C1" workbookViewId="0">
      <selection activeCell="H28" sqref="H2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114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8">
        <v>450</v>
      </c>
      <c r="D3" s="10">
        <v>1</v>
      </c>
      <c r="E3" s="5" t="s">
        <v>116</v>
      </c>
      <c r="F3" s="8" t="s">
        <v>17</v>
      </c>
      <c r="G3" s="8" t="s">
        <v>115</v>
      </c>
      <c r="H3" s="11">
        <v>799249088</v>
      </c>
      <c r="I3" s="12" t="s">
        <v>120</v>
      </c>
      <c r="J3" s="5"/>
    </row>
    <row r="4" spans="1:15" s="13" customFormat="1" ht="22.5" x14ac:dyDescent="0.45">
      <c r="A4" s="14"/>
      <c r="B4" s="15"/>
      <c r="C4" s="15">
        <v>290</v>
      </c>
      <c r="D4" s="10">
        <v>1</v>
      </c>
      <c r="E4" s="5" t="s">
        <v>117</v>
      </c>
      <c r="F4" s="8" t="s">
        <v>17</v>
      </c>
      <c r="G4" s="8" t="s">
        <v>25</v>
      </c>
      <c r="H4" s="11">
        <v>797633281</v>
      </c>
      <c r="I4" s="12" t="s">
        <v>121</v>
      </c>
      <c r="J4" s="5"/>
      <c r="O4" s="13" t="s">
        <v>27</v>
      </c>
    </row>
    <row r="5" spans="1:15" s="13" customFormat="1" ht="22.5" x14ac:dyDescent="0.45">
      <c r="A5" s="14"/>
      <c r="B5" s="15"/>
      <c r="C5" s="15">
        <v>390</v>
      </c>
      <c r="D5" s="10">
        <v>1</v>
      </c>
      <c r="E5" s="5" t="s">
        <v>103</v>
      </c>
      <c r="F5" s="8" t="s">
        <v>17</v>
      </c>
      <c r="G5" s="8" t="s">
        <v>25</v>
      </c>
      <c r="H5" s="11">
        <v>797633281</v>
      </c>
      <c r="I5" s="12" t="s">
        <v>121</v>
      </c>
      <c r="J5" s="8"/>
    </row>
    <row r="6" spans="1:15" s="13" customFormat="1" ht="22.5" x14ac:dyDescent="0.45">
      <c r="A6" s="14"/>
      <c r="B6" s="17"/>
      <c r="C6" s="16">
        <v>350</v>
      </c>
      <c r="D6" s="16">
        <v>1</v>
      </c>
      <c r="E6" s="20" t="s">
        <v>75</v>
      </c>
      <c r="F6" s="8" t="s">
        <v>17</v>
      </c>
      <c r="G6" s="17" t="s">
        <v>118</v>
      </c>
      <c r="H6" s="18">
        <v>772258842</v>
      </c>
      <c r="I6" s="19" t="s">
        <v>119</v>
      </c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 t="s">
        <v>122</v>
      </c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U4" sqref="U4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123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/>
      <c r="C3" s="8"/>
      <c r="D3" s="10"/>
      <c r="E3" s="5"/>
      <c r="F3" s="8"/>
      <c r="G3" s="8"/>
      <c r="H3" s="11"/>
      <c r="I3" s="12"/>
      <c r="J3" s="5"/>
    </row>
    <row r="4" spans="1:15" s="13" customFormat="1" ht="22.5" x14ac:dyDescent="0.45">
      <c r="A4" s="14"/>
      <c r="B4" s="15"/>
      <c r="C4" s="15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8" sqref="E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124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8">
        <v>380</v>
      </c>
      <c r="C3" s="8"/>
      <c r="D3" s="10">
        <v>1</v>
      </c>
      <c r="E3" s="5" t="s">
        <v>65</v>
      </c>
      <c r="F3" s="8" t="s">
        <v>17</v>
      </c>
      <c r="G3" s="8" t="s">
        <v>126</v>
      </c>
      <c r="H3" s="11">
        <v>796484009</v>
      </c>
      <c r="I3" s="12" t="s">
        <v>125</v>
      </c>
      <c r="J3" s="5"/>
    </row>
    <row r="4" spans="1:15" s="13" customFormat="1" ht="22.5" x14ac:dyDescent="0.45">
      <c r="A4" s="14" t="s">
        <v>129</v>
      </c>
      <c r="B4" s="15">
        <v>250</v>
      </c>
      <c r="C4" s="15">
        <v>50</v>
      </c>
      <c r="D4" s="10">
        <v>1</v>
      </c>
      <c r="E4" s="5" t="s">
        <v>43</v>
      </c>
      <c r="F4" s="8" t="s">
        <v>17</v>
      </c>
      <c r="G4" s="8" t="s">
        <v>128</v>
      </c>
      <c r="H4" s="11">
        <v>799672698</v>
      </c>
      <c r="I4" s="12" t="s">
        <v>127</v>
      </c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F6" sqref="F6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130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134</v>
      </c>
      <c r="B3" s="15">
        <v>250</v>
      </c>
      <c r="C3" s="15">
        <v>50</v>
      </c>
      <c r="D3" s="10">
        <v>1</v>
      </c>
      <c r="E3" s="5" t="s">
        <v>43</v>
      </c>
      <c r="F3" s="8" t="s">
        <v>17</v>
      </c>
      <c r="G3" s="8" t="s">
        <v>128</v>
      </c>
      <c r="H3" s="11">
        <v>799672698</v>
      </c>
      <c r="I3" s="12" t="s">
        <v>127</v>
      </c>
      <c r="J3" s="5"/>
    </row>
    <row r="4" spans="1:15" s="13" customFormat="1" ht="22.5" x14ac:dyDescent="0.45">
      <c r="A4" s="14"/>
      <c r="B4" s="15"/>
      <c r="C4" s="15">
        <v>440</v>
      </c>
      <c r="D4" s="10">
        <v>1</v>
      </c>
      <c r="E4" s="5" t="s">
        <v>133</v>
      </c>
      <c r="F4" s="8" t="s">
        <v>17</v>
      </c>
      <c r="G4" s="8" t="s">
        <v>132</v>
      </c>
      <c r="H4" s="11">
        <v>796074909</v>
      </c>
      <c r="I4" s="12" t="s">
        <v>131</v>
      </c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G12" sqref="G12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140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15"/>
      <c r="C3" s="15">
        <v>550</v>
      </c>
      <c r="D3" s="10">
        <v>1</v>
      </c>
      <c r="E3" s="5" t="s">
        <v>54</v>
      </c>
      <c r="F3" s="8" t="s">
        <v>17</v>
      </c>
      <c r="G3" s="8" t="s">
        <v>136</v>
      </c>
      <c r="H3" s="11">
        <v>797716865</v>
      </c>
      <c r="I3" s="12" t="s">
        <v>135</v>
      </c>
      <c r="J3" s="5"/>
    </row>
    <row r="4" spans="1:15" s="13" customFormat="1" ht="22.5" x14ac:dyDescent="0.45">
      <c r="A4" s="14" t="s">
        <v>139</v>
      </c>
      <c r="B4" s="15"/>
      <c r="C4" s="15">
        <v>350</v>
      </c>
      <c r="D4" s="10">
        <v>1</v>
      </c>
      <c r="E4" s="5" t="s">
        <v>138</v>
      </c>
      <c r="F4" s="8" t="s">
        <v>17</v>
      </c>
      <c r="G4" s="8" t="s">
        <v>136</v>
      </c>
      <c r="H4" s="11">
        <v>795449421</v>
      </c>
      <c r="I4" s="12" t="s">
        <v>137</v>
      </c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13" sqref="M13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141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/>
      <c r="B3" s="15"/>
      <c r="C3" s="15">
        <f>440*4</f>
        <v>1760</v>
      </c>
      <c r="D3" s="10">
        <v>4</v>
      </c>
      <c r="E3" s="5" t="s">
        <v>55</v>
      </c>
      <c r="F3" s="8" t="s">
        <v>17</v>
      </c>
      <c r="G3" s="8" t="s">
        <v>147</v>
      </c>
      <c r="H3" s="11">
        <v>796877960</v>
      </c>
      <c r="I3" s="12" t="s">
        <v>146</v>
      </c>
      <c r="J3" s="5"/>
    </row>
    <row r="4" spans="1:15" s="13" customFormat="1" ht="22.5" x14ac:dyDescent="0.45">
      <c r="A4" s="14"/>
      <c r="B4" s="15"/>
      <c r="C4" s="15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8"/>
      <c r="G5" s="8"/>
      <c r="H5" s="11"/>
      <c r="I5" s="12"/>
      <c r="J5" s="8"/>
    </row>
    <row r="6" spans="1:15" s="13" customFormat="1" ht="22.5" x14ac:dyDescent="0.45">
      <c r="A6" s="14"/>
      <c r="B6" s="17"/>
      <c r="C6" s="16"/>
      <c r="D6" s="16"/>
      <c r="E6" s="20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8" sqref="L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144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158</v>
      </c>
      <c r="B3" s="15">
        <v>380</v>
      </c>
      <c r="C3" s="15">
        <v>40</v>
      </c>
      <c r="D3" s="10">
        <v>1</v>
      </c>
      <c r="E3" s="5" t="s">
        <v>143</v>
      </c>
      <c r="F3" s="8" t="s">
        <v>17</v>
      </c>
      <c r="G3" s="8" t="s">
        <v>142</v>
      </c>
      <c r="H3" s="11">
        <v>798356020</v>
      </c>
      <c r="I3" s="12" t="s">
        <v>145</v>
      </c>
      <c r="J3" s="5"/>
    </row>
    <row r="4" spans="1:15" s="13" customFormat="1" ht="22.5" x14ac:dyDescent="0.45">
      <c r="A4" s="14" t="s">
        <v>157</v>
      </c>
      <c r="B4" s="15">
        <v>615</v>
      </c>
      <c r="C4" s="15"/>
      <c r="D4" s="10">
        <v>1</v>
      </c>
      <c r="E4" s="5" t="s">
        <v>150</v>
      </c>
      <c r="F4" s="8" t="s">
        <v>17</v>
      </c>
      <c r="G4" s="8" t="s">
        <v>149</v>
      </c>
      <c r="H4" s="11">
        <v>778694102</v>
      </c>
      <c r="I4" s="12" t="s">
        <v>148</v>
      </c>
      <c r="J4" s="5"/>
      <c r="O4" s="13" t="s">
        <v>27</v>
      </c>
    </row>
    <row r="5" spans="1:15" s="13" customFormat="1" ht="22.5" x14ac:dyDescent="0.45">
      <c r="A5" s="14"/>
      <c r="B5" s="15">
        <v>215</v>
      </c>
      <c r="C5" s="15"/>
      <c r="D5" s="10">
        <v>1</v>
      </c>
      <c r="E5" s="5" t="s">
        <v>153</v>
      </c>
      <c r="F5" s="8" t="s">
        <v>17</v>
      </c>
      <c r="G5" s="8" t="s">
        <v>152</v>
      </c>
      <c r="H5" s="11">
        <v>791843507</v>
      </c>
      <c r="I5" s="12" t="s">
        <v>151</v>
      </c>
      <c r="J5" s="8"/>
    </row>
    <row r="6" spans="1:15" s="13" customFormat="1" ht="22.5" x14ac:dyDescent="0.45">
      <c r="A6" s="14" t="s">
        <v>156</v>
      </c>
      <c r="B6" s="17">
        <v>400</v>
      </c>
      <c r="C6" s="16"/>
      <c r="D6" s="16">
        <v>1</v>
      </c>
      <c r="E6" s="5" t="s">
        <v>65</v>
      </c>
      <c r="F6" s="8" t="s">
        <v>12</v>
      </c>
      <c r="G6" s="17" t="s">
        <v>155</v>
      </c>
      <c r="H6" s="18">
        <v>776199646</v>
      </c>
      <c r="I6" s="19" t="s">
        <v>154</v>
      </c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C8" sqref="C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159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7" t="s">
        <v>162</v>
      </c>
      <c r="B3" s="15"/>
      <c r="C3" s="15">
        <v>215</v>
      </c>
      <c r="D3" s="10">
        <v>1</v>
      </c>
      <c r="E3" s="5" t="s">
        <v>161</v>
      </c>
      <c r="F3" s="8" t="s">
        <v>17</v>
      </c>
      <c r="G3" s="8" t="s">
        <v>118</v>
      </c>
      <c r="H3" s="11">
        <v>797650998</v>
      </c>
      <c r="I3" s="12" t="s">
        <v>160</v>
      </c>
      <c r="J3" s="5"/>
    </row>
    <row r="4" spans="1:15" s="13" customFormat="1" ht="22.5" x14ac:dyDescent="0.45">
      <c r="A4" s="14"/>
      <c r="B4" s="15"/>
      <c r="C4" s="15">
        <v>235</v>
      </c>
      <c r="D4" s="10">
        <v>1</v>
      </c>
      <c r="E4" s="5" t="s">
        <v>167</v>
      </c>
      <c r="F4" s="8" t="s">
        <v>17</v>
      </c>
      <c r="G4" s="8" t="s">
        <v>166</v>
      </c>
      <c r="H4" s="11">
        <v>772614764</v>
      </c>
      <c r="I4" s="12" t="s">
        <v>165</v>
      </c>
      <c r="J4" s="5"/>
      <c r="O4" s="13" t="s">
        <v>27</v>
      </c>
    </row>
    <row r="5" spans="1:15" s="13" customFormat="1" ht="22.5" x14ac:dyDescent="0.45">
      <c r="A5" s="14" t="s">
        <v>180</v>
      </c>
      <c r="B5" s="17">
        <v>440</v>
      </c>
      <c r="C5" s="15"/>
      <c r="D5" s="16"/>
      <c r="E5" s="5" t="s">
        <v>103</v>
      </c>
      <c r="F5" s="8" t="s">
        <v>17</v>
      </c>
      <c r="G5" s="17" t="s">
        <v>112</v>
      </c>
      <c r="H5" s="18"/>
      <c r="I5" s="19" t="s">
        <v>171</v>
      </c>
      <c r="J5" s="8"/>
    </row>
    <row r="6" spans="1:15" s="13" customFormat="1" ht="22.5" x14ac:dyDescent="0.45">
      <c r="A6" s="14"/>
      <c r="B6" s="17"/>
      <c r="C6" s="16"/>
      <c r="D6" s="16"/>
      <c r="E6" s="5"/>
      <c r="F6" s="8"/>
      <c r="G6" s="17"/>
      <c r="H6" s="18"/>
      <c r="I6" s="19"/>
      <c r="J6" s="8"/>
    </row>
    <row r="7" spans="1:15" s="13" customFormat="1" ht="22.5" x14ac:dyDescent="0.45">
      <c r="A7" s="14"/>
      <c r="B7" s="15"/>
      <c r="C7" s="14"/>
      <c r="D7" s="16"/>
      <c r="E7" s="17"/>
      <c r="F7" s="15"/>
      <c r="G7" s="15"/>
      <c r="H7" s="18"/>
      <c r="I7" s="19"/>
      <c r="J7" s="8"/>
    </row>
    <row r="8" spans="1:15" s="13" customFormat="1" ht="22.5" x14ac:dyDescent="0.45">
      <c r="A8" s="14"/>
      <c r="B8" s="15"/>
      <c r="C8" s="14"/>
      <c r="D8" s="16"/>
      <c r="E8" s="20"/>
      <c r="F8" s="15"/>
      <c r="G8" s="15"/>
      <c r="H8" s="18"/>
      <c r="I8" s="19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8" sqref="M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172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8" t="s">
        <v>169</v>
      </c>
      <c r="B3" s="15"/>
      <c r="C3" s="15">
        <f>290*3</f>
        <v>870</v>
      </c>
      <c r="D3" s="10">
        <v>3</v>
      </c>
      <c r="E3" s="5" t="s">
        <v>117</v>
      </c>
      <c r="F3" s="8" t="s">
        <v>17</v>
      </c>
      <c r="G3" s="8" t="s">
        <v>142</v>
      </c>
      <c r="H3" s="11">
        <v>788782628</v>
      </c>
      <c r="I3" s="24" t="s">
        <v>168</v>
      </c>
      <c r="J3" s="5"/>
    </row>
    <row r="4" spans="1:15" s="13" customFormat="1" ht="22.5" x14ac:dyDescent="0.45">
      <c r="A4" s="14"/>
      <c r="B4" s="15"/>
      <c r="C4" s="15">
        <v>290</v>
      </c>
      <c r="D4" s="10">
        <v>1</v>
      </c>
      <c r="E4" s="5" t="s">
        <v>117</v>
      </c>
      <c r="F4" s="8" t="s">
        <v>17</v>
      </c>
      <c r="G4" s="8" t="s">
        <v>164</v>
      </c>
      <c r="H4" s="11">
        <v>795347713</v>
      </c>
      <c r="I4" s="12" t="s">
        <v>163</v>
      </c>
      <c r="J4" s="5"/>
      <c r="O4" s="13" t="s">
        <v>27</v>
      </c>
    </row>
    <row r="5" spans="1:15" s="13" customFormat="1" ht="22.5" x14ac:dyDescent="0.45">
      <c r="A5" s="15"/>
      <c r="B5" s="15"/>
      <c r="C5" s="15">
        <v>700</v>
      </c>
      <c r="D5" s="10">
        <v>2</v>
      </c>
      <c r="E5" s="5" t="s">
        <v>138</v>
      </c>
      <c r="F5" s="8" t="s">
        <v>17</v>
      </c>
      <c r="G5" s="8" t="s">
        <v>174</v>
      </c>
      <c r="H5" s="11">
        <v>796721670</v>
      </c>
      <c r="I5" s="24" t="s">
        <v>173</v>
      </c>
      <c r="J5" s="8"/>
    </row>
    <row r="6" spans="1:15" s="13" customFormat="1" ht="22.5" x14ac:dyDescent="0.45">
      <c r="A6" s="14"/>
      <c r="B6" s="15"/>
      <c r="C6" s="15">
        <v>390</v>
      </c>
      <c r="D6" s="10">
        <v>1</v>
      </c>
      <c r="E6" s="5" t="s">
        <v>65</v>
      </c>
      <c r="F6" s="8" t="s">
        <v>17</v>
      </c>
      <c r="G6" s="8" t="s">
        <v>177</v>
      </c>
      <c r="H6" s="11">
        <v>789954801</v>
      </c>
      <c r="I6" s="24" t="s">
        <v>176</v>
      </c>
      <c r="J6" s="8"/>
    </row>
    <row r="7" spans="1:15" s="13" customFormat="1" ht="22.5" x14ac:dyDescent="0.45">
      <c r="A7" s="14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10" sqref="E10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175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14"/>
      <c r="B3" s="15"/>
      <c r="C3" s="15">
        <v>450</v>
      </c>
      <c r="D3" s="10">
        <v>1</v>
      </c>
      <c r="E3" s="5" t="s">
        <v>179</v>
      </c>
      <c r="F3" s="8" t="s">
        <v>17</v>
      </c>
      <c r="G3" s="8" t="s">
        <v>118</v>
      </c>
      <c r="H3" s="11">
        <v>797805463</v>
      </c>
      <c r="I3" s="12" t="s">
        <v>178</v>
      </c>
      <c r="J3" s="5"/>
    </row>
    <row r="4" spans="1:15" s="13" customFormat="1" ht="22.5" x14ac:dyDescent="0.45">
      <c r="A4" s="15"/>
      <c r="B4" s="15"/>
      <c r="C4" s="15">
        <v>350</v>
      </c>
      <c r="D4" s="10">
        <v>1</v>
      </c>
      <c r="E4" s="5" t="s">
        <v>138</v>
      </c>
      <c r="F4" s="8" t="s">
        <v>17</v>
      </c>
      <c r="G4" s="8" t="s">
        <v>182</v>
      </c>
      <c r="H4" s="11">
        <v>795820380</v>
      </c>
      <c r="I4" s="12" t="s">
        <v>181</v>
      </c>
      <c r="J4" s="5"/>
      <c r="O4" s="13" t="s">
        <v>27</v>
      </c>
    </row>
    <row r="5" spans="1:15" s="13" customFormat="1" ht="22.5" x14ac:dyDescent="0.45">
      <c r="A5" s="14" t="s">
        <v>80</v>
      </c>
      <c r="B5" s="15">
        <f>350+390-40</f>
        <v>700</v>
      </c>
      <c r="C5" s="15">
        <v>40</v>
      </c>
      <c r="D5" s="10">
        <v>2</v>
      </c>
      <c r="E5" s="5" t="s">
        <v>184</v>
      </c>
      <c r="F5" s="8" t="s">
        <v>12</v>
      </c>
      <c r="G5" s="8" t="s">
        <v>183</v>
      </c>
      <c r="H5" s="11">
        <v>798399158</v>
      </c>
      <c r="I5" s="12" t="s">
        <v>170</v>
      </c>
      <c r="J5" s="8"/>
    </row>
    <row r="6" spans="1:15" s="13" customFormat="1" ht="22.5" x14ac:dyDescent="0.45">
      <c r="A6" s="14"/>
      <c r="B6" s="15"/>
      <c r="C6" s="15">
        <v>450</v>
      </c>
      <c r="D6" s="10">
        <v>1</v>
      </c>
      <c r="E6" s="5" t="s">
        <v>108</v>
      </c>
      <c r="F6" s="8" t="s">
        <v>17</v>
      </c>
      <c r="G6" s="8" t="s">
        <v>186</v>
      </c>
      <c r="H6" s="11">
        <v>795151232</v>
      </c>
      <c r="I6" s="12" t="s">
        <v>185</v>
      </c>
      <c r="J6" s="8"/>
    </row>
    <row r="7" spans="1:15" s="13" customFormat="1" ht="22.5" x14ac:dyDescent="0.45">
      <c r="A7" s="14"/>
      <c r="B7" s="15">
        <v>200</v>
      </c>
      <c r="C7" s="15">
        <f>40+180</f>
        <v>220</v>
      </c>
      <c r="D7" s="10">
        <v>1</v>
      </c>
      <c r="E7" s="5" t="s">
        <v>143</v>
      </c>
      <c r="F7" s="8" t="s">
        <v>17</v>
      </c>
      <c r="G7" s="8" t="s">
        <v>188</v>
      </c>
      <c r="H7" s="11"/>
      <c r="I7" s="12" t="s">
        <v>187</v>
      </c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12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8" sqref="E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189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14" t="s">
        <v>192</v>
      </c>
      <c r="B3" s="15"/>
      <c r="C3" s="15">
        <v>800</v>
      </c>
      <c r="D3" s="10">
        <v>2</v>
      </c>
      <c r="E3" s="5" t="s">
        <v>191</v>
      </c>
      <c r="F3" s="8" t="s">
        <v>17</v>
      </c>
      <c r="G3" s="8" t="s">
        <v>118</v>
      </c>
      <c r="H3" s="11">
        <v>795538919</v>
      </c>
      <c r="I3" s="25" t="s">
        <v>190</v>
      </c>
      <c r="J3" s="5"/>
    </row>
    <row r="4" spans="1:15" s="13" customFormat="1" ht="22.5" x14ac:dyDescent="0.45">
      <c r="A4" s="14"/>
      <c r="B4" s="15"/>
      <c r="C4" s="15">
        <v>840</v>
      </c>
      <c r="D4" s="10">
        <v>4</v>
      </c>
      <c r="E4" s="5" t="s">
        <v>161</v>
      </c>
      <c r="F4" s="8" t="s">
        <v>17</v>
      </c>
      <c r="G4" s="8" t="s">
        <v>197</v>
      </c>
      <c r="H4" s="11">
        <v>791039675</v>
      </c>
      <c r="I4" s="25" t="s">
        <v>196</v>
      </c>
      <c r="J4" s="5"/>
      <c r="O4" s="13" t="s">
        <v>27</v>
      </c>
    </row>
    <row r="5" spans="1:15" s="13" customFormat="1" ht="22.5" x14ac:dyDescent="0.45">
      <c r="A5" s="14"/>
      <c r="B5" s="15">
        <v>340</v>
      </c>
      <c r="C5" s="15"/>
      <c r="D5" s="10">
        <v>1</v>
      </c>
      <c r="E5" s="5" t="s">
        <v>75</v>
      </c>
      <c r="F5" s="8" t="s">
        <v>17</v>
      </c>
      <c r="G5" s="8" t="s">
        <v>199</v>
      </c>
      <c r="H5" s="11"/>
      <c r="I5" s="12" t="s">
        <v>198</v>
      </c>
      <c r="J5" s="8"/>
    </row>
    <row r="6" spans="1:15" s="13" customFormat="1" ht="22.5" x14ac:dyDescent="0.45">
      <c r="A6" s="14"/>
      <c r="B6" s="15">
        <v>350</v>
      </c>
      <c r="C6" s="15">
        <v>200</v>
      </c>
      <c r="D6" s="10">
        <v>1</v>
      </c>
      <c r="E6" s="5" t="s">
        <v>54</v>
      </c>
      <c r="F6" s="8" t="s">
        <v>17</v>
      </c>
      <c r="G6" s="8" t="s">
        <v>201</v>
      </c>
      <c r="H6" s="11">
        <v>790099620</v>
      </c>
      <c r="I6" s="12" t="s">
        <v>200</v>
      </c>
      <c r="J6" s="8"/>
    </row>
    <row r="7" spans="1:15" s="13" customFormat="1" ht="22.5" x14ac:dyDescent="0.45">
      <c r="A7" s="14"/>
      <c r="B7" s="15"/>
      <c r="C7" s="15"/>
      <c r="D7" s="10"/>
      <c r="E7" s="5"/>
      <c r="F7" s="8"/>
      <c r="G7" s="8"/>
      <c r="H7" s="11"/>
      <c r="I7" s="12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12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I9" sqref="C9:I9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214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 t="s">
        <v>195</v>
      </c>
      <c r="B3" s="26">
        <f>450+290</f>
        <v>740</v>
      </c>
      <c r="C3" s="26"/>
      <c r="D3" s="27">
        <v>2</v>
      </c>
      <c r="E3" s="28" t="s">
        <v>194</v>
      </c>
      <c r="F3" s="29" t="s">
        <v>17</v>
      </c>
      <c r="G3" s="29" t="s">
        <v>136</v>
      </c>
      <c r="H3" s="30">
        <v>777722207</v>
      </c>
      <c r="I3" s="24" t="s">
        <v>193</v>
      </c>
      <c r="J3" s="5"/>
    </row>
    <row r="4" spans="1:15" s="13" customFormat="1" ht="22.5" x14ac:dyDescent="0.45">
      <c r="A4" s="15"/>
      <c r="B4" s="15"/>
      <c r="C4" s="15">
        <v>350</v>
      </c>
      <c r="D4" s="10">
        <v>1</v>
      </c>
      <c r="E4" s="5" t="s">
        <v>75</v>
      </c>
      <c r="F4" s="8" t="s">
        <v>17</v>
      </c>
      <c r="G4" s="8" t="s">
        <v>203</v>
      </c>
      <c r="H4" s="11">
        <v>790931883</v>
      </c>
      <c r="I4" s="25" t="s">
        <v>202</v>
      </c>
      <c r="J4" s="5"/>
      <c r="O4" s="13" t="s">
        <v>27</v>
      </c>
    </row>
    <row r="5" spans="1:15" s="13" customFormat="1" ht="22.5" x14ac:dyDescent="0.45">
      <c r="A5" s="14" t="s">
        <v>209</v>
      </c>
      <c r="B5" s="15"/>
      <c r="C5" s="15"/>
      <c r="D5" s="10">
        <v>1</v>
      </c>
      <c r="E5" s="5" t="s">
        <v>43</v>
      </c>
      <c r="F5" s="8" t="s">
        <v>17</v>
      </c>
      <c r="G5" s="8" t="s">
        <v>87</v>
      </c>
      <c r="H5" s="11">
        <v>791875755</v>
      </c>
      <c r="I5" s="25" t="s">
        <v>204</v>
      </c>
      <c r="J5" s="8"/>
    </row>
    <row r="6" spans="1:15" s="13" customFormat="1" ht="22.5" x14ac:dyDescent="0.45">
      <c r="A6" s="14"/>
      <c r="B6" s="15"/>
      <c r="C6" s="15">
        <v>215</v>
      </c>
      <c r="D6" s="10">
        <v>1</v>
      </c>
      <c r="E6" s="5" t="s">
        <v>153</v>
      </c>
      <c r="F6" s="8" t="s">
        <v>12</v>
      </c>
      <c r="G6" s="8" t="s">
        <v>206</v>
      </c>
      <c r="H6" s="11">
        <v>799824242</v>
      </c>
      <c r="I6" s="12" t="s">
        <v>205</v>
      </c>
      <c r="J6" s="8"/>
    </row>
    <row r="7" spans="1:15" s="13" customFormat="1" ht="22.5" x14ac:dyDescent="0.45">
      <c r="A7" s="14"/>
      <c r="B7" s="15"/>
      <c r="C7" s="14">
        <v>215</v>
      </c>
      <c r="D7" s="10">
        <v>1</v>
      </c>
      <c r="E7" s="5" t="s">
        <v>210</v>
      </c>
      <c r="F7" s="8" t="s">
        <v>17</v>
      </c>
      <c r="G7" s="8" t="s">
        <v>39</v>
      </c>
      <c r="H7" s="11"/>
      <c r="I7" s="24"/>
      <c r="J7" s="8"/>
    </row>
    <row r="8" spans="1:15" s="13" customFormat="1" ht="22.5" x14ac:dyDescent="0.45">
      <c r="A8" s="14"/>
      <c r="B8" s="8"/>
      <c r="C8" s="9">
        <v>420</v>
      </c>
      <c r="D8" s="10">
        <v>1</v>
      </c>
      <c r="E8" s="5" t="s">
        <v>219</v>
      </c>
      <c r="F8" s="8" t="s">
        <v>17</v>
      </c>
      <c r="G8" s="8" t="s">
        <v>106</v>
      </c>
      <c r="H8" s="14">
        <v>795449785</v>
      </c>
      <c r="I8" s="19" t="s">
        <v>211</v>
      </c>
      <c r="J8" s="8"/>
    </row>
    <row r="9" spans="1:15" s="13" customFormat="1" ht="22.5" x14ac:dyDescent="0.45">
      <c r="A9" s="7"/>
      <c r="B9" s="8"/>
      <c r="C9" s="9">
        <v>330</v>
      </c>
      <c r="D9" s="10">
        <v>1</v>
      </c>
      <c r="E9" s="5" t="s">
        <v>75</v>
      </c>
      <c r="F9" s="8" t="s">
        <v>12</v>
      </c>
      <c r="G9" s="8" t="s">
        <v>213</v>
      </c>
      <c r="H9" s="18">
        <v>799032545</v>
      </c>
      <c r="I9" s="19" t="s">
        <v>212</v>
      </c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U6" sqref="U6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215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26"/>
      <c r="C3" s="26">
        <v>215</v>
      </c>
      <c r="D3" s="27">
        <v>1</v>
      </c>
      <c r="E3" s="28" t="s">
        <v>161</v>
      </c>
      <c r="F3" s="29" t="s">
        <v>17</v>
      </c>
      <c r="G3" s="29" t="s">
        <v>39</v>
      </c>
      <c r="H3" s="30">
        <v>795513539</v>
      </c>
      <c r="I3" s="24" t="s">
        <v>222</v>
      </c>
      <c r="J3" s="5"/>
    </row>
    <row r="4" spans="1:15" s="13" customFormat="1" ht="22.5" x14ac:dyDescent="0.45">
      <c r="A4" s="15" t="s">
        <v>218</v>
      </c>
      <c r="B4" s="15">
        <v>450</v>
      </c>
      <c r="C4" s="15">
        <v>100</v>
      </c>
      <c r="D4" s="10">
        <v>1</v>
      </c>
      <c r="E4" s="5" t="s">
        <v>54</v>
      </c>
      <c r="F4" s="8" t="s">
        <v>17</v>
      </c>
      <c r="G4" s="8" t="s">
        <v>208</v>
      </c>
      <c r="H4" s="11">
        <v>799676461</v>
      </c>
      <c r="I4" s="12" t="s">
        <v>207</v>
      </c>
      <c r="J4" s="5"/>
      <c r="O4" s="13" t="s">
        <v>27</v>
      </c>
    </row>
    <row r="5" spans="1:15" s="13" customFormat="1" ht="22.5" x14ac:dyDescent="0.45">
      <c r="A5" s="14"/>
      <c r="B5" s="15"/>
      <c r="C5" s="15">
        <v>290</v>
      </c>
      <c r="D5" s="10">
        <v>1</v>
      </c>
      <c r="E5" s="5" t="s">
        <v>117</v>
      </c>
      <c r="F5" s="29" t="s">
        <v>17</v>
      </c>
      <c r="G5" s="8" t="s">
        <v>208</v>
      </c>
      <c r="H5" s="11">
        <v>792367915</v>
      </c>
      <c r="I5" s="24" t="s">
        <v>220</v>
      </c>
      <c r="J5" s="8"/>
    </row>
    <row r="6" spans="1:15" s="13" customFormat="1" ht="22.5" x14ac:dyDescent="0.45">
      <c r="A6" s="14"/>
      <c r="B6" s="15"/>
      <c r="C6" s="15">
        <v>215</v>
      </c>
      <c r="D6" s="10">
        <v>1</v>
      </c>
      <c r="E6" s="5" t="s">
        <v>161</v>
      </c>
      <c r="F6" s="29" t="s">
        <v>17</v>
      </c>
      <c r="G6" s="8" t="s">
        <v>136</v>
      </c>
      <c r="H6" s="11">
        <v>795018603</v>
      </c>
      <c r="I6" s="12" t="s">
        <v>221</v>
      </c>
      <c r="J6" s="8"/>
    </row>
    <row r="7" spans="1:15" s="13" customFormat="1" ht="22.5" x14ac:dyDescent="0.45">
      <c r="A7" s="14"/>
      <c r="B7" s="15"/>
      <c r="C7" s="15"/>
      <c r="D7" s="10"/>
      <c r="E7" s="5"/>
      <c r="F7" s="29"/>
      <c r="G7" s="8"/>
      <c r="H7" s="11"/>
      <c r="I7" s="12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H18" sqref="H1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237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26"/>
      <c r="C3" s="14">
        <v>215</v>
      </c>
      <c r="D3" s="10">
        <v>1</v>
      </c>
      <c r="E3" s="5" t="s">
        <v>161</v>
      </c>
      <c r="F3" s="8" t="s">
        <v>17</v>
      </c>
      <c r="G3" s="8" t="s">
        <v>136</v>
      </c>
      <c r="H3" s="30"/>
      <c r="I3" s="24"/>
      <c r="J3" s="5"/>
    </row>
    <row r="4" spans="1:15" s="13" customFormat="1" ht="22.5" x14ac:dyDescent="0.45">
      <c r="A4" s="15"/>
      <c r="B4" s="15"/>
      <c r="C4" s="14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29"/>
      <c r="G5" s="8"/>
      <c r="H5" s="11"/>
      <c r="I5" s="24"/>
      <c r="J5" s="8"/>
    </row>
    <row r="6" spans="1:15" s="13" customFormat="1" ht="22.5" x14ac:dyDescent="0.45">
      <c r="A6" s="14"/>
      <c r="B6" s="15"/>
      <c r="C6" s="15"/>
      <c r="D6" s="10"/>
      <c r="E6" s="5"/>
      <c r="F6" s="29"/>
      <c r="G6" s="8"/>
      <c r="H6" s="11"/>
      <c r="I6" s="12"/>
      <c r="J6" s="8"/>
    </row>
    <row r="7" spans="1:15" s="13" customFormat="1" ht="22.5" x14ac:dyDescent="0.45">
      <c r="A7" s="14"/>
      <c r="B7" s="15"/>
      <c r="C7" s="15"/>
      <c r="D7" s="10"/>
      <c r="E7" s="5"/>
      <c r="F7" s="29"/>
      <c r="G7" s="8"/>
      <c r="H7" s="11"/>
      <c r="I7" s="12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B1" workbookViewId="0">
      <selection activeCell="I18" sqref="I1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223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26">
        <f>315-65</f>
        <v>250</v>
      </c>
      <c r="C3" s="26">
        <v>65</v>
      </c>
      <c r="D3" s="27">
        <v>1</v>
      </c>
      <c r="E3" s="28" t="s">
        <v>216</v>
      </c>
      <c r="F3" s="29" t="s">
        <v>17</v>
      </c>
      <c r="G3" s="29" t="s">
        <v>224</v>
      </c>
      <c r="H3" s="30">
        <v>775488787</v>
      </c>
      <c r="I3" s="25" t="s">
        <v>225</v>
      </c>
      <c r="J3" s="5"/>
    </row>
    <row r="4" spans="1:15" s="13" customFormat="1" ht="22.5" x14ac:dyDescent="0.45">
      <c r="A4" s="15"/>
      <c r="B4" s="15">
        <v>605</v>
      </c>
      <c r="C4" s="15"/>
      <c r="D4" s="10">
        <v>1</v>
      </c>
      <c r="E4" s="5" t="s">
        <v>228</v>
      </c>
      <c r="F4" s="8" t="s">
        <v>17</v>
      </c>
      <c r="G4" s="8" t="s">
        <v>227</v>
      </c>
      <c r="H4" s="11"/>
      <c r="I4" s="12" t="s">
        <v>226</v>
      </c>
      <c r="J4" s="5"/>
      <c r="O4" s="13" t="s">
        <v>27</v>
      </c>
    </row>
    <row r="5" spans="1:15" s="13" customFormat="1" ht="22.5" x14ac:dyDescent="0.45">
      <c r="A5" s="14"/>
      <c r="B5" s="15">
        <f>290*3-70</f>
        <v>800</v>
      </c>
      <c r="C5" s="15"/>
      <c r="D5" s="10">
        <v>3</v>
      </c>
      <c r="E5" s="5" t="s">
        <v>231</v>
      </c>
      <c r="F5" s="29" t="s">
        <v>17</v>
      </c>
      <c r="G5" s="8" t="s">
        <v>230</v>
      </c>
      <c r="H5" s="11">
        <v>796387951</v>
      </c>
      <c r="I5" s="25" t="s">
        <v>229</v>
      </c>
      <c r="J5" s="8"/>
    </row>
    <row r="6" spans="1:15" s="13" customFormat="1" ht="22.5" x14ac:dyDescent="0.45">
      <c r="A6" s="14"/>
      <c r="B6" s="15"/>
      <c r="C6" s="26">
        <v>315</v>
      </c>
      <c r="D6" s="27">
        <v>1</v>
      </c>
      <c r="E6" s="28" t="s">
        <v>216</v>
      </c>
      <c r="F6" s="29" t="s">
        <v>17</v>
      </c>
      <c r="G6" s="29"/>
      <c r="H6" s="30"/>
      <c r="I6" s="25" t="s">
        <v>217</v>
      </c>
      <c r="J6" s="8"/>
    </row>
    <row r="7" spans="1:15" s="13" customFormat="1" ht="22.5" x14ac:dyDescent="0.45">
      <c r="A7" s="14"/>
      <c r="B7" s="15"/>
      <c r="D7" s="23"/>
      <c r="E7" s="23"/>
      <c r="F7" s="23"/>
      <c r="G7" s="23"/>
      <c r="H7" s="23"/>
      <c r="I7" s="23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10" sqref="E10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232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26"/>
      <c r="C3" s="26">
        <v>395</v>
      </c>
      <c r="D3" s="27">
        <v>1</v>
      </c>
      <c r="E3" s="28" t="s">
        <v>234</v>
      </c>
      <c r="F3" s="29" t="s">
        <v>17</v>
      </c>
      <c r="G3" s="29" t="s">
        <v>233</v>
      </c>
      <c r="H3" s="30">
        <v>777716472</v>
      </c>
      <c r="I3" s="25" t="s">
        <v>242</v>
      </c>
      <c r="J3" s="5"/>
    </row>
    <row r="4" spans="1:15" s="13" customFormat="1" ht="22.5" x14ac:dyDescent="0.45">
      <c r="A4" s="15"/>
      <c r="B4" s="15">
        <v>200</v>
      </c>
      <c r="C4" s="15">
        <v>200</v>
      </c>
      <c r="D4" s="10">
        <v>1</v>
      </c>
      <c r="E4" s="5" t="s">
        <v>236</v>
      </c>
      <c r="F4" s="8" t="s">
        <v>17</v>
      </c>
      <c r="G4" s="8" t="s">
        <v>61</v>
      </c>
      <c r="H4" s="11">
        <v>797850489</v>
      </c>
      <c r="I4" s="12" t="s">
        <v>235</v>
      </c>
      <c r="J4" s="5"/>
      <c r="O4" s="13" t="s">
        <v>27</v>
      </c>
    </row>
    <row r="5" spans="1:15" s="13" customFormat="1" ht="22.5" x14ac:dyDescent="0.45">
      <c r="A5" s="14"/>
      <c r="B5" s="15"/>
      <c r="C5" s="15">
        <f>290*2</f>
        <v>580</v>
      </c>
      <c r="D5" s="10">
        <v>2</v>
      </c>
      <c r="E5" s="5" t="s">
        <v>240</v>
      </c>
      <c r="F5" s="29" t="s">
        <v>17</v>
      </c>
      <c r="G5" s="8" t="s">
        <v>239</v>
      </c>
      <c r="H5" s="11">
        <v>785665945</v>
      </c>
      <c r="I5" s="25" t="s">
        <v>238</v>
      </c>
      <c r="J5" s="8"/>
    </row>
    <row r="6" spans="1:15" s="13" customFormat="1" ht="22.5" x14ac:dyDescent="0.45">
      <c r="A6" s="14"/>
      <c r="B6" s="15">
        <f>290-50</f>
        <v>240</v>
      </c>
      <c r="C6" s="15">
        <v>50</v>
      </c>
      <c r="D6" s="10">
        <v>1</v>
      </c>
      <c r="E6" s="5" t="s">
        <v>117</v>
      </c>
      <c r="F6" s="29" t="s">
        <v>17</v>
      </c>
      <c r="G6" s="8" t="s">
        <v>118</v>
      </c>
      <c r="H6" s="11">
        <v>797402292</v>
      </c>
      <c r="I6" s="24" t="s">
        <v>241</v>
      </c>
      <c r="J6" s="8"/>
    </row>
    <row r="7" spans="1:15" s="13" customFormat="1" ht="22.5" x14ac:dyDescent="0.45">
      <c r="A7" s="14"/>
      <c r="B7" s="15"/>
      <c r="C7" s="9">
        <v>330</v>
      </c>
      <c r="D7" s="10">
        <v>1</v>
      </c>
      <c r="E7" s="5" t="s">
        <v>75</v>
      </c>
      <c r="F7" s="8" t="s">
        <v>12</v>
      </c>
      <c r="G7" s="8" t="s">
        <v>213</v>
      </c>
      <c r="H7" s="18">
        <v>799032545</v>
      </c>
      <c r="I7" s="31" t="s">
        <v>212</v>
      </c>
      <c r="J7" s="8"/>
    </row>
    <row r="8" spans="1:15" s="13" customFormat="1" ht="22.5" x14ac:dyDescent="0.45">
      <c r="A8" s="14"/>
      <c r="B8" s="15"/>
      <c r="C8" s="9">
        <v>525</v>
      </c>
      <c r="D8" s="10">
        <v>1</v>
      </c>
      <c r="E8" s="5" t="s">
        <v>54</v>
      </c>
      <c r="F8" s="8" t="s">
        <v>17</v>
      </c>
      <c r="G8" s="8"/>
      <c r="H8" s="18"/>
      <c r="I8" s="19" t="s">
        <v>244</v>
      </c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8" sqref="M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252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15"/>
      <c r="C3" s="15">
        <v>350</v>
      </c>
      <c r="D3" s="10">
        <v>1</v>
      </c>
      <c r="E3" s="5" t="s">
        <v>138</v>
      </c>
      <c r="F3" s="29"/>
      <c r="G3" s="8"/>
      <c r="H3" s="11"/>
      <c r="I3" s="24"/>
      <c r="J3" s="5"/>
    </row>
    <row r="4" spans="1:15" s="13" customFormat="1" ht="22.5" x14ac:dyDescent="0.45">
      <c r="A4" s="15"/>
      <c r="B4" s="15"/>
      <c r="C4" s="15">
        <v>550</v>
      </c>
      <c r="D4" s="10">
        <v>1</v>
      </c>
      <c r="E4" s="5" t="s">
        <v>254</v>
      </c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>
        <v>220</v>
      </c>
      <c r="D5" s="10">
        <v>1</v>
      </c>
      <c r="E5" s="5" t="s">
        <v>255</v>
      </c>
      <c r="F5" s="29"/>
      <c r="G5" s="8"/>
      <c r="H5" s="11"/>
      <c r="I5" s="24"/>
      <c r="J5" s="8"/>
    </row>
    <row r="6" spans="1:15" s="13" customFormat="1" ht="22.5" x14ac:dyDescent="0.45">
      <c r="A6" s="14"/>
      <c r="B6" s="15"/>
      <c r="C6" s="15"/>
      <c r="D6" s="10"/>
      <c r="E6" s="5"/>
      <c r="F6" s="29"/>
      <c r="G6" s="8"/>
      <c r="H6" s="11"/>
      <c r="I6" s="24"/>
      <c r="J6" s="8"/>
    </row>
    <row r="7" spans="1:15" s="13" customFormat="1" ht="22.5" x14ac:dyDescent="0.45">
      <c r="A7" s="14"/>
      <c r="B7" s="15"/>
      <c r="C7" s="26"/>
      <c r="D7" s="27"/>
      <c r="E7" s="28"/>
      <c r="F7" s="29"/>
      <c r="G7" s="29"/>
      <c r="H7" s="30"/>
      <c r="I7" s="24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14" sqref="E14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253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/>
      <c r="B3" s="15"/>
      <c r="C3" s="15">
        <v>1700</v>
      </c>
      <c r="D3" s="10">
        <v>2</v>
      </c>
      <c r="E3" s="5" t="s">
        <v>179</v>
      </c>
      <c r="F3" s="29" t="s">
        <v>17</v>
      </c>
      <c r="G3" s="8" t="s">
        <v>230</v>
      </c>
      <c r="H3" s="11">
        <v>796387951</v>
      </c>
      <c r="I3" s="24" t="s">
        <v>243</v>
      </c>
      <c r="J3" s="5"/>
    </row>
    <row r="4" spans="1:15" s="13" customFormat="1" ht="22.5" x14ac:dyDescent="0.45">
      <c r="A4" s="15" t="s">
        <v>246</v>
      </c>
      <c r="B4" s="15" t="s">
        <v>139</v>
      </c>
      <c r="C4" s="15">
        <v>810</v>
      </c>
      <c r="D4" s="10">
        <v>2</v>
      </c>
      <c r="E4" s="5" t="s">
        <v>194</v>
      </c>
      <c r="F4" s="8" t="s">
        <v>17</v>
      </c>
      <c r="G4" s="8" t="s">
        <v>142</v>
      </c>
      <c r="H4" s="11">
        <v>777722207</v>
      </c>
      <c r="I4" s="12" t="s">
        <v>245</v>
      </c>
      <c r="J4" s="5"/>
      <c r="O4" s="13" t="s">
        <v>27</v>
      </c>
    </row>
    <row r="5" spans="1:15" s="13" customFormat="1" ht="22.5" x14ac:dyDescent="0.45">
      <c r="A5" s="14"/>
      <c r="B5" s="15"/>
      <c r="C5" s="15">
        <v>300</v>
      </c>
      <c r="D5" s="10">
        <v>1</v>
      </c>
      <c r="E5" s="5" t="s">
        <v>249</v>
      </c>
      <c r="F5" s="29" t="s">
        <v>17</v>
      </c>
      <c r="G5" s="8" t="s">
        <v>248</v>
      </c>
      <c r="H5" s="11">
        <v>790774803</v>
      </c>
      <c r="I5" s="24" t="s">
        <v>247</v>
      </c>
      <c r="J5" s="8"/>
    </row>
    <row r="6" spans="1:15" s="13" customFormat="1" ht="22.5" x14ac:dyDescent="0.45">
      <c r="A6" s="14"/>
      <c r="B6" s="15"/>
      <c r="C6" s="15">
        <v>395</v>
      </c>
      <c r="D6" s="10">
        <v>1</v>
      </c>
      <c r="E6" s="5" t="s">
        <v>234</v>
      </c>
      <c r="F6" s="29" t="s">
        <v>17</v>
      </c>
      <c r="G6" s="8" t="s">
        <v>251</v>
      </c>
      <c r="H6" s="11">
        <v>799172495</v>
      </c>
      <c r="I6" s="24" t="s">
        <v>250</v>
      </c>
      <c r="J6" s="8"/>
    </row>
    <row r="7" spans="1:15" s="13" customFormat="1" ht="22.5" x14ac:dyDescent="0.45">
      <c r="A7" s="14"/>
      <c r="B7" s="15"/>
      <c r="C7" s="26"/>
      <c r="D7" s="27"/>
      <c r="E7" s="28"/>
      <c r="F7" s="29"/>
      <c r="G7" s="29"/>
      <c r="H7" s="30"/>
      <c r="I7" s="24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8" sqref="L8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256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26" t="s">
        <v>259</v>
      </c>
      <c r="B3" s="15"/>
      <c r="C3" s="15">
        <v>250</v>
      </c>
      <c r="D3" s="10">
        <v>1</v>
      </c>
      <c r="E3" s="5" t="s">
        <v>108</v>
      </c>
      <c r="F3" s="29" t="s">
        <v>258</v>
      </c>
      <c r="G3" s="8" t="s">
        <v>61</v>
      </c>
      <c r="H3" s="11"/>
      <c r="I3" s="24" t="s">
        <v>257</v>
      </c>
      <c r="J3" s="5"/>
    </row>
    <row r="4" spans="1:15" s="13" customFormat="1" ht="22.5" x14ac:dyDescent="0.45">
      <c r="A4" s="15"/>
      <c r="B4" s="15"/>
      <c r="C4" s="15"/>
      <c r="D4" s="10">
        <v>1</v>
      </c>
      <c r="E4" s="5" t="s">
        <v>262</v>
      </c>
      <c r="F4" s="8" t="s">
        <v>261</v>
      </c>
      <c r="G4" s="8" t="s">
        <v>233</v>
      </c>
      <c r="H4" s="11"/>
      <c r="I4" s="12" t="s">
        <v>260</v>
      </c>
      <c r="J4" s="5"/>
      <c r="O4" s="13" t="s">
        <v>27</v>
      </c>
    </row>
    <row r="5" spans="1:15" s="13" customFormat="1" ht="22.5" x14ac:dyDescent="0.45">
      <c r="A5" s="14" t="s">
        <v>66</v>
      </c>
      <c r="B5" s="15"/>
      <c r="C5" s="15"/>
      <c r="D5" s="10">
        <v>1</v>
      </c>
      <c r="E5" s="5" t="s">
        <v>43</v>
      </c>
      <c r="F5" s="29" t="s">
        <v>17</v>
      </c>
      <c r="G5" s="8" t="s">
        <v>233</v>
      </c>
      <c r="H5" s="11"/>
      <c r="I5" s="24" t="s">
        <v>263</v>
      </c>
      <c r="J5" s="8"/>
    </row>
    <row r="6" spans="1:15" s="13" customFormat="1" ht="22.5" x14ac:dyDescent="0.45">
      <c r="A6" s="14"/>
      <c r="B6" s="15"/>
      <c r="C6" s="15">
        <v>550</v>
      </c>
      <c r="D6" s="10">
        <v>1</v>
      </c>
      <c r="E6" s="5" t="s">
        <v>54</v>
      </c>
      <c r="F6" s="29" t="s">
        <v>17</v>
      </c>
      <c r="G6" s="8" t="s">
        <v>136</v>
      </c>
      <c r="H6" s="11">
        <v>795501890</v>
      </c>
      <c r="I6" s="24" t="s">
        <v>264</v>
      </c>
      <c r="J6" s="8"/>
    </row>
    <row r="7" spans="1:15" s="13" customFormat="1" ht="22.5" x14ac:dyDescent="0.45">
      <c r="A7" s="14"/>
      <c r="B7" s="15"/>
      <c r="C7" s="26"/>
      <c r="D7" s="10">
        <v>4</v>
      </c>
      <c r="E7" s="5" t="s">
        <v>55</v>
      </c>
      <c r="F7" s="8" t="s">
        <v>12</v>
      </c>
      <c r="G7" s="8" t="s">
        <v>112</v>
      </c>
      <c r="H7" s="11"/>
      <c r="I7" s="24" t="s">
        <v>266</v>
      </c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N1" sqref="N1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267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14"/>
      <c r="B3" s="15"/>
      <c r="C3" s="26">
        <v>350</v>
      </c>
      <c r="D3" s="27">
        <v>1</v>
      </c>
      <c r="E3" s="28" t="s">
        <v>138</v>
      </c>
      <c r="F3" s="29" t="s">
        <v>17</v>
      </c>
      <c r="G3" s="29" t="s">
        <v>169</v>
      </c>
      <c r="H3" s="30">
        <v>797159731</v>
      </c>
      <c r="I3" s="24" t="s">
        <v>265</v>
      </c>
      <c r="J3" s="5"/>
    </row>
    <row r="4" spans="1:15" s="13" customFormat="1" ht="22.5" x14ac:dyDescent="0.45">
      <c r="A4" s="15"/>
      <c r="B4" s="15"/>
      <c r="C4" s="15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29"/>
      <c r="G5" s="8"/>
      <c r="H5" s="11"/>
      <c r="I5" s="24"/>
      <c r="J5" s="8"/>
    </row>
    <row r="6" spans="1:15" s="13" customFormat="1" ht="22.5" x14ac:dyDescent="0.45">
      <c r="A6" s="14"/>
      <c r="B6" s="15"/>
      <c r="C6" s="15"/>
      <c r="D6" s="10"/>
      <c r="E6" s="5"/>
      <c r="F6" s="29"/>
      <c r="G6" s="8"/>
      <c r="H6" s="11"/>
      <c r="I6" s="24"/>
      <c r="J6" s="8"/>
    </row>
    <row r="7" spans="1:15" s="13" customFormat="1" ht="22.5" x14ac:dyDescent="0.45">
      <c r="A7" s="14"/>
      <c r="B7" s="15"/>
      <c r="C7" s="26"/>
      <c r="D7" s="27"/>
      <c r="E7" s="28"/>
      <c r="F7" s="29"/>
      <c r="G7" s="29"/>
      <c r="H7" s="30"/>
      <c r="I7" s="24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4" sqref="H4"/>
    </sheetView>
  </sheetViews>
  <sheetFormatPr defaultRowHeight="15" x14ac:dyDescent="0.25"/>
  <cols>
    <col min="1" max="1" width="13.28515625" customWidth="1"/>
    <col min="4" max="4" width="10.42578125" customWidth="1"/>
    <col min="5" max="5" width="30.7109375" customWidth="1"/>
    <col min="6" max="6" width="9.85546875" customWidth="1"/>
    <col min="7" max="7" width="16.7109375" customWidth="1"/>
    <col min="8" max="8" width="20.140625" customWidth="1"/>
    <col min="9" max="9" width="17.7109375" customWidth="1"/>
    <col min="10" max="10" width="0.5703125" customWidth="1"/>
  </cols>
  <sheetData>
    <row r="1" spans="1:15" ht="27.75" thickBot="1" x14ac:dyDescent="0.3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7"/>
    </row>
    <row r="2" spans="1:15" s="6" customFormat="1" ht="24.75" x14ac:dyDescent="0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4" t="s">
        <v>9</v>
      </c>
      <c r="J2" s="5"/>
    </row>
    <row r="3" spans="1:15" s="13" customFormat="1" ht="22.5" x14ac:dyDescent="0.45">
      <c r="A3" s="14"/>
      <c r="B3" s="15"/>
      <c r="C3" s="26"/>
      <c r="D3" s="27"/>
      <c r="E3" s="28"/>
      <c r="F3" s="29"/>
      <c r="G3" s="29"/>
      <c r="H3" s="30"/>
      <c r="I3" s="24"/>
      <c r="J3" s="5"/>
    </row>
    <row r="4" spans="1:15" s="13" customFormat="1" ht="22.5" x14ac:dyDescent="0.45">
      <c r="A4" s="15"/>
      <c r="B4" s="15"/>
      <c r="C4" s="15"/>
      <c r="D4" s="10"/>
      <c r="E4" s="5"/>
      <c r="F4" s="8"/>
      <c r="G4" s="8"/>
      <c r="H4" s="11"/>
      <c r="I4" s="12"/>
      <c r="J4" s="5"/>
      <c r="O4" s="13" t="s">
        <v>27</v>
      </c>
    </row>
    <row r="5" spans="1:15" s="13" customFormat="1" ht="22.5" x14ac:dyDescent="0.45">
      <c r="A5" s="14"/>
      <c r="B5" s="15"/>
      <c r="C5" s="15"/>
      <c r="D5" s="10"/>
      <c r="E5" s="5"/>
      <c r="F5" s="29"/>
      <c r="G5" s="8"/>
      <c r="H5" s="11"/>
      <c r="I5" s="24"/>
      <c r="J5" s="8"/>
    </row>
    <row r="6" spans="1:15" s="13" customFormat="1" ht="22.5" x14ac:dyDescent="0.45">
      <c r="A6" s="14"/>
      <c r="B6" s="15"/>
      <c r="C6" s="15"/>
      <c r="D6" s="10"/>
      <c r="E6" s="5"/>
      <c r="F6" s="29"/>
      <c r="G6" s="8"/>
      <c r="H6" s="11"/>
      <c r="I6" s="24"/>
      <c r="J6" s="8"/>
    </row>
    <row r="7" spans="1:15" s="13" customFormat="1" ht="22.5" x14ac:dyDescent="0.45">
      <c r="A7" s="14"/>
      <c r="B7" s="15"/>
      <c r="C7" s="26"/>
      <c r="D7" s="27"/>
      <c r="E7" s="28"/>
      <c r="F7" s="29"/>
      <c r="G7" s="29"/>
      <c r="H7" s="30"/>
      <c r="I7" s="24"/>
      <c r="J7" s="8"/>
    </row>
    <row r="8" spans="1:15" s="13" customFormat="1" ht="22.5" x14ac:dyDescent="0.45">
      <c r="A8" s="14"/>
      <c r="B8" s="15"/>
      <c r="C8" s="14"/>
      <c r="D8" s="10"/>
      <c r="E8" s="5"/>
      <c r="F8" s="8"/>
      <c r="G8" s="8"/>
      <c r="H8" s="11"/>
      <c r="I8" s="24"/>
      <c r="J8" s="8"/>
    </row>
    <row r="9" spans="1:15" s="13" customFormat="1" ht="22.5" x14ac:dyDescent="0.45">
      <c r="A9" s="7"/>
      <c r="B9" s="8"/>
      <c r="C9" s="9"/>
      <c r="D9" s="10"/>
      <c r="E9" s="5"/>
      <c r="F9" s="8"/>
      <c r="G9" s="8"/>
      <c r="H9" s="14"/>
      <c r="I9" s="19"/>
      <c r="J9" s="21"/>
    </row>
    <row r="10" spans="1:15" s="13" customFormat="1" ht="22.5" x14ac:dyDescent="0.45">
      <c r="A10" s="7"/>
      <c r="B10" s="8"/>
      <c r="C10" s="9"/>
      <c r="D10" s="10"/>
      <c r="E10" s="5"/>
      <c r="F10" s="8"/>
      <c r="G10" s="8"/>
      <c r="H10" s="18"/>
      <c r="I10" s="19"/>
      <c r="J10" s="21"/>
    </row>
    <row r="11" spans="1:15" s="13" customFormat="1" ht="22.5" x14ac:dyDescent="0.45">
      <c r="A11" s="7"/>
      <c r="B11" s="8"/>
      <c r="C11" s="9"/>
      <c r="D11" s="10"/>
      <c r="E11" s="5"/>
      <c r="F11" s="8"/>
      <c r="G11" s="8"/>
      <c r="H11" s="18"/>
      <c r="I11" s="19"/>
      <c r="J11" s="21"/>
    </row>
    <row r="12" spans="1:15" s="13" customFormat="1" ht="22.5" x14ac:dyDescent="0.45">
      <c r="A12" s="14"/>
      <c r="B12" s="15"/>
      <c r="C12" s="14"/>
      <c r="D12" s="16"/>
      <c r="E12" s="17"/>
      <c r="F12" s="15"/>
      <c r="G12" s="15"/>
      <c r="H12" s="18"/>
      <c r="I12" s="19"/>
      <c r="J12" s="8"/>
    </row>
    <row r="13" spans="1:15" s="13" customFormat="1" ht="22.5" x14ac:dyDescent="0.45">
      <c r="A13" s="14"/>
      <c r="B13" s="15"/>
      <c r="C13" s="14"/>
      <c r="D13" s="16"/>
      <c r="E13" s="17"/>
      <c r="F13" s="15"/>
      <c r="G13" s="15"/>
      <c r="H13" s="18"/>
      <c r="I13" s="19"/>
      <c r="J13" s="8"/>
    </row>
    <row r="14" spans="1:15" s="13" customFormat="1" ht="22.5" x14ac:dyDescent="0.45">
      <c r="A14" s="7"/>
      <c r="B14" s="8"/>
      <c r="C14" s="9"/>
      <c r="D14" s="10"/>
      <c r="E14" s="5"/>
      <c r="F14" s="8"/>
      <c r="G14" s="8"/>
      <c r="H14" s="14"/>
      <c r="I14" s="19"/>
      <c r="J14" s="21"/>
    </row>
    <row r="15" spans="1:15" s="13" customFormat="1" ht="22.5" x14ac:dyDescent="0.45">
      <c r="A15" s="14"/>
      <c r="B15" s="15"/>
      <c r="C15" s="14"/>
      <c r="D15" s="16"/>
      <c r="E15" s="20"/>
      <c r="F15" s="15"/>
      <c r="G15" s="15"/>
      <c r="H15" s="18"/>
      <c r="I15" s="19"/>
      <c r="J15" s="8"/>
    </row>
    <row r="16" spans="1:15" s="13" customFormat="1" ht="22.5" x14ac:dyDescent="0.45">
      <c r="A16" s="14"/>
      <c r="B16" s="15"/>
      <c r="C16" s="14"/>
      <c r="D16" s="16"/>
      <c r="E16" s="17"/>
      <c r="F16" s="15"/>
      <c r="G16" s="15"/>
      <c r="H16" s="18"/>
      <c r="I16" s="19"/>
      <c r="J16" s="21"/>
    </row>
  </sheetData>
  <mergeCells count="1">
    <mergeCell ref="A1:J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41</vt:i4>
      </vt:variant>
    </vt:vector>
  </HeadingPairs>
  <TitlesOfParts>
    <vt:vector size="41" baseType="lpstr">
      <vt:lpstr>23-6</vt:lpstr>
      <vt:lpstr>24-06</vt:lpstr>
      <vt:lpstr>25-05</vt:lpstr>
      <vt:lpstr>27-06</vt:lpstr>
      <vt:lpstr>28-06)</vt:lpstr>
      <vt:lpstr>29-06</vt:lpstr>
      <vt:lpstr>30-06 </vt:lpstr>
      <vt:lpstr>01-07</vt:lpstr>
      <vt:lpstr>02-07 </vt:lpstr>
      <vt:lpstr>04-07</vt:lpstr>
      <vt:lpstr>05-07</vt:lpstr>
      <vt:lpstr>06-07</vt:lpstr>
      <vt:lpstr>07-07</vt:lpstr>
      <vt:lpstr>08-07</vt:lpstr>
      <vt:lpstr>09-07)</vt:lpstr>
      <vt:lpstr>11-07</vt:lpstr>
      <vt:lpstr>12-07</vt:lpstr>
      <vt:lpstr>13-07</vt:lpstr>
      <vt:lpstr>14-07</vt:lpstr>
      <vt:lpstr>15-07</vt:lpstr>
      <vt:lpstr>19-07 </vt:lpstr>
      <vt:lpstr>20-07</vt:lpstr>
      <vt:lpstr>21-07</vt:lpstr>
      <vt:lpstr>22-07</vt:lpstr>
      <vt:lpstr>23-07</vt:lpstr>
      <vt:lpstr>25-07</vt:lpstr>
      <vt:lpstr>26-07</vt:lpstr>
      <vt:lpstr>27-07</vt:lpstr>
      <vt:lpstr>28-07</vt:lpstr>
      <vt:lpstr>29-07</vt:lpstr>
      <vt:lpstr>30-07</vt:lpstr>
      <vt:lpstr>0-08</vt:lpstr>
      <vt:lpstr>02-08</vt:lpstr>
      <vt:lpstr>03-08</vt:lpstr>
      <vt:lpstr>04-08</vt:lpstr>
      <vt:lpstr>05-08</vt:lpstr>
      <vt:lpstr>06-08</vt:lpstr>
      <vt:lpstr>07-08</vt:lpstr>
      <vt:lpstr>08-08</vt:lpstr>
      <vt:lpstr>09-08</vt:lpstr>
      <vt:lpstr>09-08 (2)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KAFAWEEN</dc:creator>
  <cp:keywords/>
  <dc:description/>
  <cp:lastModifiedBy>T.G</cp:lastModifiedBy>
  <cp:revision/>
  <cp:lastPrinted>2026-08-09T19:18:47Z</cp:lastPrinted>
  <dcterms:created xsi:type="dcterms:W3CDTF">2026-06-21T09:45:07Z</dcterms:created>
  <dcterms:modified xsi:type="dcterms:W3CDTF">2026-08-10T06:34:22Z</dcterms:modified>
  <cp:category/>
  <cp:contentStatus/>
</cp:coreProperties>
</file>