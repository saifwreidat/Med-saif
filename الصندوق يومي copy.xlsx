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240" yWindow="0" windowWidth="29040" windowHeight="14130" activeTab="2"/>
  </bookViews>
  <sheets>
    <sheet name="شهر 6" sheetId="1" r:id="rId1"/>
    <sheet name="شهر 7" sheetId="4" r:id="rId2"/>
    <sheet name="شهر 8" sheetId="5" r:id="rId3"/>
  </sheets>
  <calcPr calcId="144525"/>
</workbook>
</file>

<file path=xl/calcChain.xml><?xml version="1.0" encoding="utf-8"?>
<calcChain xmlns="http://schemas.openxmlformats.org/spreadsheetml/2006/main">
  <c r="H565" i="5" l="1"/>
  <c r="G565" i="5"/>
  <c r="F565" i="5"/>
  <c r="E565" i="5"/>
  <c r="D565" i="5"/>
  <c r="A565" i="5"/>
  <c r="E568" i="5" l="1"/>
  <c r="E567" i="5"/>
  <c r="E566" i="5"/>
  <c r="H520" i="5"/>
  <c r="G520" i="5"/>
  <c r="F520" i="5"/>
  <c r="E520" i="5"/>
  <c r="D520" i="5"/>
  <c r="A520" i="5"/>
  <c r="E522" i="5" l="1"/>
  <c r="E523" i="5"/>
  <c r="E521" i="5"/>
  <c r="A453" i="5"/>
  <c r="H475" i="5" l="1"/>
  <c r="G475" i="5"/>
  <c r="F475" i="5"/>
  <c r="E475" i="5"/>
  <c r="D475" i="5"/>
  <c r="A475" i="5"/>
  <c r="E476" i="5" l="1"/>
  <c r="E477" i="5"/>
  <c r="E478" i="5"/>
  <c r="A409" i="5"/>
  <c r="A407" i="5" l="1"/>
  <c r="E434" i="5" l="1"/>
  <c r="H430" i="5" l="1"/>
  <c r="G430" i="5"/>
  <c r="E430" i="5"/>
  <c r="D430" i="5"/>
  <c r="F430" i="5"/>
  <c r="A430" i="5"/>
  <c r="E432" i="5" l="1"/>
  <c r="E433" i="5"/>
  <c r="E431" i="5"/>
  <c r="A363" i="5"/>
  <c r="F363" i="5" l="1"/>
  <c r="H385" i="5" l="1"/>
  <c r="G385" i="5"/>
  <c r="E385" i="5"/>
  <c r="D385" i="5"/>
  <c r="F385" i="5"/>
  <c r="A385" i="5"/>
  <c r="E387" i="5" l="1"/>
  <c r="E388" i="5"/>
  <c r="E386" i="5"/>
  <c r="A319" i="5"/>
  <c r="F320" i="5"/>
  <c r="G340" i="5" l="1"/>
  <c r="F340" i="5"/>
  <c r="E340" i="5"/>
  <c r="D340" i="5"/>
  <c r="H340" i="5"/>
  <c r="A340" i="5"/>
  <c r="E342" i="5" l="1"/>
  <c r="E343" i="5"/>
  <c r="E341" i="5"/>
  <c r="A272" i="5"/>
  <c r="H274" i="5"/>
  <c r="H295" i="5" l="1"/>
  <c r="G295" i="5"/>
  <c r="F295" i="5"/>
  <c r="E295" i="5"/>
  <c r="D295" i="5"/>
  <c r="A295" i="5"/>
  <c r="E297" i="5" l="1"/>
  <c r="E296" i="5"/>
  <c r="E298" i="5"/>
  <c r="G250" i="5" l="1"/>
  <c r="F250" i="5"/>
  <c r="E250" i="5"/>
  <c r="D250" i="5"/>
  <c r="A250" i="5"/>
  <c r="H250" i="5"/>
  <c r="H188" i="5"/>
  <c r="H205" i="5" s="1"/>
  <c r="E209" i="5"/>
  <c r="A205" i="5"/>
  <c r="G205" i="5"/>
  <c r="F205" i="5"/>
  <c r="E205" i="5"/>
  <c r="D205" i="5"/>
  <c r="E164" i="5"/>
  <c r="A138" i="5"/>
  <c r="E253" i="5" l="1"/>
  <c r="E251" i="5"/>
  <c r="E252" i="5"/>
  <c r="E208" i="5"/>
  <c r="E207" i="5"/>
  <c r="E206" i="5"/>
  <c r="H160" i="5" l="1"/>
  <c r="G160" i="5"/>
  <c r="F160" i="5"/>
  <c r="E160" i="5"/>
  <c r="D160" i="5"/>
  <c r="A160" i="5"/>
  <c r="E162" i="5" l="1"/>
  <c r="E163" i="5"/>
  <c r="E161" i="5"/>
  <c r="H70" i="5"/>
  <c r="A49" i="5"/>
  <c r="E119" i="5"/>
  <c r="H115" i="5"/>
  <c r="G115" i="5"/>
  <c r="F115" i="5"/>
  <c r="E115" i="5"/>
  <c r="D115" i="5"/>
  <c r="A115" i="5"/>
  <c r="E117" i="5" l="1"/>
  <c r="E118" i="5"/>
  <c r="E116" i="5"/>
  <c r="G70" i="5" l="1"/>
  <c r="F70" i="5"/>
  <c r="E70" i="5"/>
  <c r="A70" i="5"/>
  <c r="D70" i="5"/>
  <c r="E72" i="5" l="1"/>
  <c r="E73" i="5"/>
  <c r="E71" i="5"/>
  <c r="G1247" i="4" l="1"/>
  <c r="F1247" i="4"/>
  <c r="E1247" i="4"/>
  <c r="A1247" i="4"/>
  <c r="H1247" i="4"/>
  <c r="D1247" i="4"/>
  <c r="E1248" i="4" l="1"/>
  <c r="B1248" i="4"/>
  <c r="A6" i="5"/>
  <c r="D10" i="5"/>
  <c r="H10" i="5"/>
  <c r="H1178" i="4" l="1"/>
  <c r="D1178" i="4"/>
  <c r="A28" i="5"/>
  <c r="H28" i="5"/>
  <c r="G28" i="5"/>
  <c r="F28" i="5"/>
  <c r="E28" i="5"/>
  <c r="D28" i="5"/>
  <c r="E29" i="5" l="1"/>
  <c r="E30" i="5"/>
  <c r="E31" i="5"/>
  <c r="G1196" i="4" l="1"/>
  <c r="F1196" i="4"/>
  <c r="E1196" i="4"/>
  <c r="D1196" i="4"/>
  <c r="A1196" i="4"/>
  <c r="H1196" i="4"/>
  <c r="E1197" i="4" l="1"/>
  <c r="B1197" i="4"/>
  <c r="H1129" i="4"/>
  <c r="H1128" i="4" l="1"/>
  <c r="H1145" i="4" l="1"/>
  <c r="G1145" i="4"/>
  <c r="F1145" i="4"/>
  <c r="E1145" i="4"/>
  <c r="D1145" i="4"/>
  <c r="A1145" i="4"/>
  <c r="E1146" i="4" l="1"/>
  <c r="B1146" i="4"/>
  <c r="H1094" i="4"/>
  <c r="G1094" i="4"/>
  <c r="F1094" i="4"/>
  <c r="E1094" i="4"/>
  <c r="D1094" i="4"/>
  <c r="A1094" i="4"/>
  <c r="B1095" i="4" l="1"/>
  <c r="E1095" i="4"/>
  <c r="G1043" i="4"/>
  <c r="F1043" i="4"/>
  <c r="E1043" i="4"/>
  <c r="D1043" i="4"/>
  <c r="A1043" i="4"/>
  <c r="H1043" i="4"/>
  <c r="E1044" i="4" l="1"/>
  <c r="B1044" i="4"/>
  <c r="H990" i="4"/>
  <c r="G1012" i="4" l="1"/>
  <c r="F1012" i="4"/>
  <c r="E1012" i="4"/>
  <c r="D1012" i="4"/>
  <c r="A1012" i="4"/>
  <c r="H1012" i="4"/>
  <c r="E1013" i="4" l="1"/>
  <c r="B1013" i="4"/>
  <c r="H942" i="4"/>
  <c r="G965" i="4"/>
  <c r="F965" i="4"/>
  <c r="E965" i="4"/>
  <c r="D965" i="4"/>
  <c r="A965" i="4"/>
  <c r="H965" i="4"/>
  <c r="E966" i="4" l="1"/>
  <c r="B966" i="4"/>
  <c r="H897" i="4"/>
  <c r="H918" i="4" l="1"/>
  <c r="G918" i="4"/>
  <c r="F918" i="4"/>
  <c r="E918" i="4"/>
  <c r="D918" i="4"/>
  <c r="A918" i="4"/>
  <c r="E919" i="4" l="1"/>
  <c r="B919" i="4"/>
  <c r="H756" i="4"/>
  <c r="H871" i="4" l="1"/>
  <c r="G871" i="4"/>
  <c r="F871" i="4"/>
  <c r="E871" i="4"/>
  <c r="D871" i="4"/>
  <c r="A871" i="4"/>
  <c r="E872" i="4" l="1"/>
  <c r="B872" i="4"/>
  <c r="A755" i="4"/>
  <c r="H825" i="4" l="1"/>
  <c r="G825" i="4"/>
  <c r="F825" i="4"/>
  <c r="E825" i="4"/>
  <c r="D825" i="4"/>
  <c r="A825" i="4"/>
  <c r="E826" i="4" l="1"/>
  <c r="B826" i="4"/>
  <c r="H778" i="4"/>
  <c r="G778" i="4"/>
  <c r="F778" i="4"/>
  <c r="E778" i="4"/>
  <c r="D778" i="4"/>
  <c r="A778" i="4"/>
  <c r="E779" i="4" l="1"/>
  <c r="B779" i="4"/>
  <c r="H616" i="4"/>
  <c r="A615" i="4" l="1"/>
  <c r="H731" i="4"/>
  <c r="G731" i="4"/>
  <c r="F731" i="4"/>
  <c r="E731" i="4"/>
  <c r="D731" i="4"/>
  <c r="A731" i="4"/>
  <c r="H684" i="4"/>
  <c r="E685" i="4" s="1"/>
  <c r="G684" i="4"/>
  <c r="F684" i="4"/>
  <c r="E684" i="4"/>
  <c r="D684" i="4"/>
  <c r="A684" i="4"/>
  <c r="E732" i="4" l="1"/>
  <c r="B685" i="4"/>
  <c r="B732" i="4"/>
  <c r="H637" i="4"/>
  <c r="E638" i="4" s="1"/>
  <c r="G637" i="4"/>
  <c r="F637" i="4"/>
  <c r="E637" i="4"/>
  <c r="D637" i="4"/>
  <c r="A637" i="4"/>
  <c r="B638" i="4" l="1"/>
  <c r="H590" i="4"/>
  <c r="G590" i="4"/>
  <c r="F590" i="4"/>
  <c r="D590" i="4"/>
  <c r="A590" i="4"/>
  <c r="E590" i="4"/>
  <c r="E591" i="4" l="1"/>
  <c r="B591" i="4"/>
  <c r="E520" i="4"/>
  <c r="G543" i="4" l="1"/>
  <c r="F543" i="4"/>
  <c r="E543" i="4"/>
  <c r="D543" i="4"/>
  <c r="A543" i="4"/>
  <c r="H543" i="4"/>
  <c r="E544" i="4" l="1"/>
  <c r="B544" i="4"/>
  <c r="H477" i="4"/>
  <c r="H473" i="4" l="1"/>
  <c r="H496" i="4" l="1"/>
  <c r="G496" i="4"/>
  <c r="F496" i="4"/>
  <c r="E496" i="4"/>
  <c r="D496" i="4"/>
  <c r="A496" i="4"/>
  <c r="E497" i="4" l="1"/>
  <c r="B497" i="4"/>
  <c r="H450" i="4"/>
  <c r="G450" i="4"/>
  <c r="F450" i="4"/>
  <c r="E450" i="4"/>
  <c r="D450" i="4"/>
  <c r="A450" i="4"/>
  <c r="E451" i="4" l="1"/>
  <c r="B451" i="4"/>
  <c r="H403" i="4"/>
  <c r="G403" i="4"/>
  <c r="F403" i="4"/>
  <c r="E403" i="4"/>
  <c r="D403" i="4"/>
  <c r="A403" i="4"/>
  <c r="E404" i="4" l="1"/>
  <c r="B404" i="4"/>
  <c r="H356" i="4"/>
  <c r="E357" i="4" s="1"/>
  <c r="G356" i="4"/>
  <c r="F356" i="4"/>
  <c r="E356" i="4"/>
  <c r="D356" i="4"/>
  <c r="A356" i="4"/>
  <c r="B357" i="4" l="1"/>
  <c r="H309" i="4"/>
  <c r="E310" i="4" s="1"/>
  <c r="G309" i="4"/>
  <c r="F309" i="4"/>
  <c r="E309" i="4"/>
  <c r="D309" i="4"/>
  <c r="A309" i="4"/>
  <c r="B310" i="4" l="1"/>
  <c r="G262" i="4"/>
  <c r="F262" i="4"/>
  <c r="E262" i="4"/>
  <c r="D262" i="4"/>
  <c r="A262" i="4"/>
  <c r="H262" i="4"/>
  <c r="N202" i="4"/>
  <c r="E263" i="4" l="1"/>
  <c r="B263" i="4"/>
  <c r="H193" i="4"/>
  <c r="H215" i="4" l="1"/>
  <c r="G215" i="4"/>
  <c r="F215" i="4"/>
  <c r="E215" i="4"/>
  <c r="D215" i="4"/>
  <c r="A215" i="4"/>
  <c r="B216" i="4" l="1"/>
  <c r="E216" i="4"/>
  <c r="H168" i="4"/>
  <c r="G168" i="4"/>
  <c r="F168" i="4"/>
  <c r="E168" i="4"/>
  <c r="D168" i="4"/>
  <c r="A168" i="4"/>
  <c r="E169" i="4" l="1"/>
  <c r="B169" i="4"/>
  <c r="G121" i="4"/>
  <c r="F121" i="4"/>
  <c r="E121" i="4"/>
  <c r="D121" i="4"/>
  <c r="A121" i="4"/>
  <c r="H121" i="4"/>
  <c r="E122" i="4" l="1"/>
  <c r="B122" i="4"/>
  <c r="H54" i="4"/>
  <c r="A52" i="4" l="1"/>
  <c r="H52" i="4" l="1"/>
  <c r="H51" i="4"/>
  <c r="H74" i="4" l="1"/>
  <c r="G74" i="4"/>
  <c r="F74" i="4"/>
  <c r="E74" i="4"/>
  <c r="D74" i="4"/>
  <c r="A74" i="4"/>
  <c r="E75" i="4" l="1"/>
  <c r="B75" i="4"/>
  <c r="H27" i="4"/>
  <c r="G27" i="4"/>
  <c r="F27" i="4"/>
  <c r="E27" i="4"/>
  <c r="D27" i="4"/>
  <c r="A27" i="4"/>
  <c r="E28" i="4" l="1"/>
  <c r="B28" i="4"/>
  <c r="H309" i="1"/>
  <c r="G309" i="1"/>
  <c r="F309" i="1"/>
  <c r="E309" i="1"/>
  <c r="D309" i="1"/>
  <c r="A309" i="1"/>
  <c r="E310" i="1" l="1"/>
  <c r="B310" i="1"/>
  <c r="H262" i="1"/>
  <c r="G262" i="1"/>
  <c r="F262" i="1"/>
  <c r="E262" i="1"/>
  <c r="D262" i="1"/>
  <c r="A262" i="1"/>
  <c r="E263" i="1" l="1"/>
  <c r="B263" i="1"/>
  <c r="H168" i="1"/>
  <c r="G168" i="1"/>
  <c r="F168" i="1"/>
  <c r="E168" i="1"/>
  <c r="D168" i="1"/>
  <c r="A168" i="1"/>
  <c r="H121" i="1"/>
  <c r="G121" i="1"/>
  <c r="F121" i="1"/>
  <c r="E121" i="1"/>
  <c r="D121" i="1"/>
  <c r="A121" i="1"/>
  <c r="H74" i="1"/>
  <c r="E75" i="1" s="1"/>
  <c r="G74" i="1"/>
  <c r="F74" i="1"/>
  <c r="E74" i="1"/>
  <c r="D74" i="1"/>
  <c r="A74" i="1"/>
  <c r="E122" i="1" l="1"/>
  <c r="E169" i="1"/>
  <c r="B169" i="1"/>
  <c r="B122" i="1"/>
  <c r="B75" i="1"/>
  <c r="H216" i="1"/>
  <c r="G216" i="1"/>
  <c r="F216" i="1"/>
  <c r="E216" i="1"/>
  <c r="D216" i="1"/>
  <c r="A216" i="1"/>
  <c r="B217" i="1" l="1"/>
  <c r="E217" i="1"/>
  <c r="H27" i="1" l="1"/>
  <c r="G27" i="1"/>
  <c r="F27" i="1"/>
  <c r="E27" i="1"/>
  <c r="D27" i="1"/>
  <c r="A27" i="1"/>
  <c r="B28" i="1" l="1"/>
  <c r="E28" i="1"/>
</calcChain>
</file>

<file path=xl/sharedStrings.xml><?xml version="1.0" encoding="utf-8"?>
<sst xmlns="http://schemas.openxmlformats.org/spreadsheetml/2006/main" count="998" uniqueCount="317">
  <si>
    <t>يوم الثلاثاء : 23/06/2026</t>
  </si>
  <si>
    <t xml:space="preserve">مصاريف </t>
  </si>
  <si>
    <t xml:space="preserve">ايرادات </t>
  </si>
  <si>
    <t xml:space="preserve">مبلغ </t>
  </si>
  <si>
    <t xml:space="preserve">بيان </t>
  </si>
  <si>
    <t>ذمم</t>
  </si>
  <si>
    <t>شيكات</t>
  </si>
  <si>
    <t>كليك</t>
  </si>
  <si>
    <t>فيزا</t>
  </si>
  <si>
    <t>نقدا</t>
  </si>
  <si>
    <t>بيان</t>
  </si>
  <si>
    <t xml:space="preserve">الصافي </t>
  </si>
  <si>
    <t>الاجمالي</t>
  </si>
  <si>
    <t xml:space="preserve">   </t>
  </si>
  <si>
    <t xml:space="preserve">هاير دايموند 2 طن عدد 1 </t>
  </si>
  <si>
    <t>هاير دايموند 1.5 طن عدد 1</t>
  </si>
  <si>
    <t>هاير دايموند 1 طن عدد 1</t>
  </si>
  <si>
    <t>هاير دايموند 2 طن عدد 1</t>
  </si>
  <si>
    <t>هاير بريميوم 1.5 طن عدد 1</t>
  </si>
  <si>
    <t>قاتلة حشرات عدد 1</t>
  </si>
  <si>
    <t>مكيف صحراوي 100 لتر</t>
  </si>
  <si>
    <t>هاير دايموند 2 طن / ث</t>
  </si>
  <si>
    <t>هاير دايموند 2 طن عدد 2 + جري 2 طن عدد 1</t>
  </si>
  <si>
    <t>مقص + ماكنة فلير</t>
  </si>
  <si>
    <t>دفعة من حساب الحباشنة</t>
  </si>
  <si>
    <t xml:space="preserve">هاير بريميوم 2 طن </t>
  </si>
  <si>
    <t>ميديا سيرس 2 طن  /مهند مهاوش</t>
  </si>
  <si>
    <t xml:space="preserve">مواد تنظيف </t>
  </si>
  <si>
    <t>شاشة كمبيوتر</t>
  </si>
  <si>
    <t>كيبورد</t>
  </si>
  <si>
    <t>وصلات كهرباء</t>
  </si>
  <si>
    <t>حموده تركيب</t>
  </si>
  <si>
    <t>يوم الاربعاء : 24/06/2026</t>
  </si>
  <si>
    <r>
      <t xml:space="preserve">تسديد فاتورة ليث تيفور / تم </t>
    </r>
    <r>
      <rPr>
        <b/>
        <sz val="11"/>
        <color theme="1"/>
        <rFont val="Arial"/>
        <family val="2"/>
      </rPr>
      <t>خصم</t>
    </r>
    <r>
      <rPr>
        <b/>
        <sz val="10"/>
        <color theme="1"/>
        <rFont val="Times New Roman"/>
        <family val="1"/>
      </rPr>
      <t xml:space="preserve"> 15</t>
    </r>
  </si>
  <si>
    <t>قواعد 4 / حموده</t>
  </si>
  <si>
    <t xml:space="preserve">حموده / كرتونة معجون </t>
  </si>
  <si>
    <t xml:space="preserve">معجونة كتانة </t>
  </si>
  <si>
    <t xml:space="preserve">تصليح كمبيوتر حبر </t>
  </si>
  <si>
    <t>مكبس + ملف</t>
  </si>
  <si>
    <t>حموده 4 تركيبات</t>
  </si>
  <si>
    <t xml:space="preserve">كهربجي </t>
  </si>
  <si>
    <t xml:space="preserve">سيف سحب </t>
  </si>
  <si>
    <t>يوم الخميس : 23/06/2026</t>
  </si>
  <si>
    <t xml:space="preserve">عاصم سحب </t>
  </si>
  <si>
    <t>يوم السبت : 27/06/2026</t>
  </si>
  <si>
    <t>حموده قاعديتن</t>
  </si>
  <si>
    <t xml:space="preserve">حموده تركيب </t>
  </si>
  <si>
    <t>هاير بريميوم  1.5 طن عدد 1/خ</t>
  </si>
  <si>
    <t>سيف سحب</t>
  </si>
  <si>
    <t>حمود تركيب 2</t>
  </si>
  <si>
    <t>يوم الاحد : 28/06/2026</t>
  </si>
  <si>
    <t>يوم الاثنين : 29/06/2026</t>
  </si>
  <si>
    <t xml:space="preserve">تسديد باقي فاتورة هاير بريميوم 1.5 طن </t>
  </si>
  <si>
    <t xml:space="preserve">تركيب حموده </t>
  </si>
  <si>
    <t>يوم الثلاثاء : 30/06/2026</t>
  </si>
  <si>
    <t>هاير بريميوم 2 طن عدد 1</t>
  </si>
  <si>
    <t xml:space="preserve">هاير دايموند 2 طن عدد 1 / بشير سحيمات </t>
  </si>
  <si>
    <t xml:space="preserve">فرقية بريميوم 1 طن </t>
  </si>
  <si>
    <t>تركيب حموده 1</t>
  </si>
  <si>
    <t>تركيب حموده برا 1</t>
  </si>
  <si>
    <t>قاتلة حشرات 10 واط</t>
  </si>
  <si>
    <t>يوم الاربعاء : 01/07/2026</t>
  </si>
  <si>
    <t>هاير بريميوم 1 طن عدد 1</t>
  </si>
  <si>
    <t>مروحة تكماز LFR</t>
  </si>
  <si>
    <t xml:space="preserve"> هاير دايموند 1.5 طن </t>
  </si>
  <si>
    <t xml:space="preserve">سيف /سحب </t>
  </si>
  <si>
    <t>حموده تركيب غور</t>
  </si>
  <si>
    <t>يوم الخميس : 02/07/2026</t>
  </si>
  <si>
    <t>كليفيت 1 طن عدد 2</t>
  </si>
  <si>
    <t xml:space="preserve">كليفيت 1.5 طن عدد </t>
  </si>
  <si>
    <t>حموده تركيب *4</t>
  </si>
  <si>
    <t xml:space="preserve">حموده / كرتونة تب عزل </t>
  </si>
  <si>
    <t>كت * 4 كليفيت</t>
  </si>
  <si>
    <t>حموده 4  قواعد</t>
  </si>
  <si>
    <t>بدل</t>
  </si>
  <si>
    <t>اجار مستودع</t>
  </si>
  <si>
    <t>يوم السبت : 04/07/2026</t>
  </si>
  <si>
    <t xml:space="preserve">كت 4 متر </t>
  </si>
  <si>
    <t>هاير بريميوم 1 طن /خ</t>
  </si>
  <si>
    <t>مروحة LFR عدد 2</t>
  </si>
  <si>
    <t xml:space="preserve">فؤاد الحباشنة اجور </t>
  </si>
  <si>
    <t>يوم الاحد : 05/07/2026</t>
  </si>
  <si>
    <t>محابس *3/ مراد حباشنة</t>
  </si>
  <si>
    <t>جينيرال برو 1.5 طن*2</t>
  </si>
  <si>
    <t xml:space="preserve">حموده  تركيب </t>
  </si>
  <si>
    <t>يوم الاثنين : 06/07/2026</t>
  </si>
  <si>
    <t xml:space="preserve">ورشة تاسيس </t>
  </si>
  <si>
    <t>حموده / تاسيس</t>
  </si>
  <si>
    <t>اجار محل / مي</t>
  </si>
  <si>
    <t>لفة 1/4 + لفة 3/8</t>
  </si>
  <si>
    <t>عازل *7</t>
  </si>
  <si>
    <t>مروحة تكماز NFR</t>
  </si>
  <si>
    <t xml:space="preserve">كت 4 متر + تب عزل *2/ رجعنا من كاش </t>
  </si>
  <si>
    <t xml:space="preserve">كابل الكهربا 17 متر  </t>
  </si>
  <si>
    <t>يوم الثلاثاء : 07/07/2026</t>
  </si>
  <si>
    <t>هاير دايموند 1 طن *1 + 1.5 طن *1</t>
  </si>
  <si>
    <t xml:space="preserve">فروست 2 طن  * 1/ مع كت </t>
  </si>
  <si>
    <t>سيف</t>
  </si>
  <si>
    <t>مروحة ستاند NFR</t>
  </si>
  <si>
    <t>مروحة حائط WFR</t>
  </si>
  <si>
    <t>حموده تركيب *3</t>
  </si>
  <si>
    <t>يوم الاربعاء : 08/07/2026</t>
  </si>
  <si>
    <t>قاعدة + رول بلاك *5</t>
  </si>
  <si>
    <t>يوم الخميس : 09/07/2026</t>
  </si>
  <si>
    <t>قاتل حشرات 10 واط</t>
  </si>
  <si>
    <t>كت 1/2 1//4</t>
  </si>
  <si>
    <t>باقي دفعة بشير سحيمات</t>
  </si>
  <si>
    <t xml:space="preserve">                                  </t>
  </si>
  <si>
    <t>يوم السبت : 11/07/2026</t>
  </si>
  <si>
    <t>سامسونج 2 طن عدد 1/ علاء</t>
  </si>
  <si>
    <t>هاير ريفيف 1 طن  /الطراونة</t>
  </si>
  <si>
    <t>يوم الاحد : 12/07/2026</t>
  </si>
  <si>
    <t>رصيد الايام السابقة /لم يتم الايداع</t>
  </si>
  <si>
    <t xml:space="preserve">تلفون </t>
  </si>
  <si>
    <t xml:space="preserve">شحن خط المحل </t>
  </si>
  <si>
    <t>حموده / تركيب*1</t>
  </si>
  <si>
    <t>كت 4 متر + سلك 3.5 متر / علاء</t>
  </si>
  <si>
    <t>حموده /تركيب *1</t>
  </si>
  <si>
    <t>يوم  الاثنين : 13/07/2026</t>
  </si>
  <si>
    <t>هاير دايموند 1.5  طن  *2</t>
  </si>
  <si>
    <t>هاير دايموند 1 طن *1</t>
  </si>
  <si>
    <t>قاتل حشرات 1 واط</t>
  </si>
  <si>
    <t>حموده / قواعد *3 + 3 طقم طبب</t>
  </si>
  <si>
    <t xml:space="preserve">هاير بريميوم 1.5 طن </t>
  </si>
  <si>
    <t>حموده  تركيب *4</t>
  </si>
  <si>
    <t>يوم  الثلاثاء : 14/07/2026</t>
  </si>
  <si>
    <t>هاير دايموند 2 طن * 2 / تكرم هوم</t>
  </si>
  <si>
    <t>مكيف صحراوي 90L B</t>
  </si>
  <si>
    <t>يوم  الاربعاء : 15/07/2026</t>
  </si>
  <si>
    <t>عازل*6</t>
  </si>
  <si>
    <t>لفة 3/8</t>
  </si>
  <si>
    <t>لفة5/8</t>
  </si>
  <si>
    <t xml:space="preserve">5 حبات عزل </t>
  </si>
  <si>
    <t>تركيب حموده</t>
  </si>
  <si>
    <t>رصيد سابق</t>
  </si>
  <si>
    <t>منظفات</t>
  </si>
  <si>
    <t>يوم  الخميس : 16/07/2026</t>
  </si>
  <si>
    <t>جرة غاز R22</t>
  </si>
  <si>
    <t xml:space="preserve">                       </t>
  </si>
  <si>
    <t>يوم  السبت : 18/07/2026</t>
  </si>
  <si>
    <t>يوم  الاحد : 19/07/2026</t>
  </si>
  <si>
    <t>مكيف صصحراوي 25L</t>
  </si>
  <si>
    <t>هاير دايموند 2 طن /عدد 2  بدون تركيب</t>
  </si>
  <si>
    <t>هاير بريميوم 1.5 طن</t>
  </si>
  <si>
    <t>هاير بريميوم 1 طن / عدد 1</t>
  </si>
  <si>
    <t>هاير دايموند 1.5 طن / عدد 1</t>
  </si>
  <si>
    <t>هاير دايموند 1 طن / عدد 1</t>
  </si>
  <si>
    <t>حموده/ تركيب</t>
  </si>
  <si>
    <t>يوم  الاثنين : 20/07/2026</t>
  </si>
  <si>
    <t>يوم  الثلاثاء : 21/07/2026</t>
  </si>
  <si>
    <t>مروحة ستاند LFR</t>
  </si>
  <si>
    <t xml:space="preserve"> </t>
  </si>
  <si>
    <t xml:space="preserve">هاير دايموند 1.5 طن </t>
  </si>
  <si>
    <t>دفعة هاير دايموند 1 طن</t>
  </si>
  <si>
    <t>كت 4  + نيبل</t>
  </si>
  <si>
    <t>حموده تركيب *1</t>
  </si>
  <si>
    <t>يوم  الاربعاء : 22/07/2026</t>
  </si>
  <si>
    <t>دفعة الاستاذ محمد البطوش</t>
  </si>
  <si>
    <t>طقم جلد *2</t>
  </si>
  <si>
    <t>ارجاع دفعة زبون / +</t>
  </si>
  <si>
    <t>يوم  الخميس : 22/07/2026</t>
  </si>
  <si>
    <t>محمد الحباشنة / كت 4 متر + نيبل</t>
  </si>
  <si>
    <t xml:space="preserve">هير بريميوم 1 طن </t>
  </si>
  <si>
    <t>يوسف تركيب*1</t>
  </si>
  <si>
    <t>ماب 410 صغير*2</t>
  </si>
  <si>
    <t>مكيف صحراوي 100L</t>
  </si>
  <si>
    <t>يوم  الجمعة : 24/07/2026</t>
  </si>
  <si>
    <t>هاير دايموند 2 طن + كت 10</t>
  </si>
  <si>
    <t>هاير ريفيف 1 طن</t>
  </si>
  <si>
    <t>يوم  السبت  : 25/07/2026</t>
  </si>
  <si>
    <t>قهوة + مي</t>
  </si>
  <si>
    <t>هاير دايموند 2 طن *4</t>
  </si>
  <si>
    <t xml:space="preserve">دفعة ام عبدالله </t>
  </si>
  <si>
    <t>مصاريف / حموده</t>
  </si>
  <si>
    <t>سماح / لايف</t>
  </si>
  <si>
    <t>جينيرال برو 1.5 طن</t>
  </si>
  <si>
    <t>جينيرال برو 1 طن</t>
  </si>
  <si>
    <t>سيف / سحب</t>
  </si>
  <si>
    <t>مامون / 50كليك</t>
  </si>
  <si>
    <t xml:space="preserve">جري كليفيا 2 طن / بدون تركيب </t>
  </si>
  <si>
    <t>ارجاع 15 دفعة زبون</t>
  </si>
  <si>
    <t xml:space="preserve">مروحة SFR </t>
  </si>
  <si>
    <t>يوم  الاحد  : 26/07/2026</t>
  </si>
  <si>
    <t>يوم  الاثنين  : 27/07/2026</t>
  </si>
  <si>
    <t>الهام / لايف</t>
  </si>
  <si>
    <t>جينيرال ديلوكس</t>
  </si>
  <si>
    <t>دفعة جينيرال ديلوكس / بشار الرواشدة</t>
  </si>
  <si>
    <t>مروحة NFR</t>
  </si>
  <si>
    <t xml:space="preserve">هاي دايموند 1 طن // دفعة </t>
  </si>
  <si>
    <t>هاير دايموند 1.5 طن / حموده</t>
  </si>
  <si>
    <t xml:space="preserve">هاير ريفيف 1 طن </t>
  </si>
  <si>
    <t>يوم  الثلاثاء  : 28/07/2026</t>
  </si>
  <si>
    <t>ختم / كليك</t>
  </si>
  <si>
    <t>باقي رصيد سابق</t>
  </si>
  <si>
    <t>هاير دايموند 1 طن *3</t>
  </si>
  <si>
    <t xml:space="preserve"> دفعة هاير بريمميوم 1.5 طن</t>
  </si>
  <si>
    <t>باقي حساب هاير دايموند 1 طن</t>
  </si>
  <si>
    <t>هاير بريميوم 1 طن *2</t>
  </si>
  <si>
    <t xml:space="preserve"> هاير دايموند 1.5 طن</t>
  </si>
  <si>
    <t>حموده تركيب كامل</t>
  </si>
  <si>
    <t>سحوبات حموده</t>
  </si>
  <si>
    <t>حموده *4 قاعدة</t>
  </si>
  <si>
    <t>يوم  الاربعاء  : 29/07/2026</t>
  </si>
  <si>
    <t>هاير بريميوم 1 طن</t>
  </si>
  <si>
    <t xml:space="preserve">نسمه 1 طن </t>
  </si>
  <si>
    <t xml:space="preserve"> باقي حساب هاير بريمميوم 1.5 طن</t>
  </si>
  <si>
    <t>هاير بريميوم 1 طن / ساجدة</t>
  </si>
  <si>
    <t>هاير دايموند 1.5 طن / ساجدة</t>
  </si>
  <si>
    <t>جينيرال برو 2 طن  عدد 1</t>
  </si>
  <si>
    <t>صافي اليوم</t>
  </si>
  <si>
    <t>صافي صندوق النقد</t>
  </si>
  <si>
    <t>اجمالي المصاريف</t>
  </si>
  <si>
    <t>عدد المكيفات اليومي</t>
  </si>
  <si>
    <t>اجمالي كل من :</t>
  </si>
  <si>
    <t>كت 4 متر  *2</t>
  </si>
  <si>
    <t>دفعة هاير بريميوم 1.5 طن</t>
  </si>
  <si>
    <r>
      <t xml:space="preserve"> </t>
    </r>
    <r>
      <rPr>
        <b/>
        <sz val="14"/>
        <color theme="1"/>
        <rFont val="Times New Roman"/>
        <family val="1"/>
      </rPr>
      <t xml:space="preserve">الملاحظات : الشيك بنك </t>
    </r>
  </si>
  <si>
    <t>يوم  الاربعاء : 29/07/2026</t>
  </si>
  <si>
    <t>حموده تركيب * 6</t>
  </si>
  <si>
    <t>يوم  الخميس  : 30/07/2026</t>
  </si>
  <si>
    <t>يوم  الخميس : 30/07/2026</t>
  </si>
  <si>
    <r>
      <t xml:space="preserve"> </t>
    </r>
    <r>
      <rPr>
        <b/>
        <sz val="14"/>
        <color theme="1"/>
        <rFont val="Times New Roman"/>
        <family val="1"/>
      </rPr>
      <t xml:space="preserve">الملاحظات : </t>
    </r>
  </si>
  <si>
    <t>جري كليفيا 2 طن</t>
  </si>
  <si>
    <t xml:space="preserve">هاير بريميوم 1 طن </t>
  </si>
  <si>
    <t>مروحة فات ستار</t>
  </si>
  <si>
    <t xml:space="preserve">رصيد سابق </t>
  </si>
  <si>
    <t xml:space="preserve"> دفعة جينيررال ديلوكس *4</t>
  </si>
  <si>
    <t xml:space="preserve"> هاير بريميوم 1.5 طن</t>
  </si>
  <si>
    <t xml:space="preserve">ريموت سمارت </t>
  </si>
  <si>
    <t xml:space="preserve">دفعة هاير بريميوم 2 طن </t>
  </si>
  <si>
    <t>ابو خالد / كليك</t>
  </si>
  <si>
    <t>جرد الاسبوع ( السبت - الخميس)</t>
  </si>
  <si>
    <t>اليوم</t>
  </si>
  <si>
    <t>السبت</t>
  </si>
  <si>
    <t>مصاريف</t>
  </si>
  <si>
    <t>الاحد</t>
  </si>
  <si>
    <t>الاثنين</t>
  </si>
  <si>
    <t>الثلاثاء</t>
  </si>
  <si>
    <t>الاربعاء</t>
  </si>
  <si>
    <t>الخميس</t>
  </si>
  <si>
    <r>
      <t xml:space="preserve"> </t>
    </r>
    <r>
      <rPr>
        <b/>
        <sz val="14"/>
        <color theme="1"/>
        <rFont val="Times New Roman"/>
        <family val="1"/>
      </rPr>
      <t>الملاحظات :  يوم الاثنين دفعة على 12 حبة ديلوكس مش مسجلات في العدد</t>
    </r>
  </si>
  <si>
    <t>حموده / تركيب</t>
  </si>
  <si>
    <t xml:space="preserve">معجون *5 / حموده </t>
  </si>
  <si>
    <t>يوم  السبت : 01/08/2026</t>
  </si>
  <si>
    <t>دفعة هاير بريميوم 2 طن</t>
  </si>
  <si>
    <t xml:space="preserve">جينيرال برو 2 طن </t>
  </si>
  <si>
    <t>جينيرال ديلوكس 1 طن</t>
  </si>
  <si>
    <t>هاير دايموند 1 طن / احمد ختاتنه</t>
  </si>
  <si>
    <t xml:space="preserve">جينيرال برو 1.5 طن </t>
  </si>
  <si>
    <t xml:space="preserve">جينيرال  برو 1 طن </t>
  </si>
  <si>
    <t>حموده / كليك</t>
  </si>
  <si>
    <t xml:space="preserve">جينيرال ديلوكس 1 طن </t>
  </si>
  <si>
    <r>
      <t xml:space="preserve"> </t>
    </r>
    <r>
      <rPr>
        <b/>
        <sz val="14"/>
        <color theme="1"/>
        <rFont val="Times New Roman"/>
        <family val="1"/>
      </rPr>
      <t xml:space="preserve">الملاحظات : حموده تم حسابه كليك 55 ثم 75. </t>
    </r>
  </si>
  <si>
    <t>يوم  الاحد : 02/08/2026</t>
  </si>
  <si>
    <t xml:space="preserve">هاير دايموند 1 طن </t>
  </si>
  <si>
    <t>باقي حساب هاير بريميوم 2 طن</t>
  </si>
  <si>
    <t>معطر + ورق</t>
  </si>
  <si>
    <t>اسراء ام علي</t>
  </si>
  <si>
    <t>حموده  تركيب</t>
  </si>
  <si>
    <t xml:space="preserve">الملاحظات : حموده 70 كليك 10 كاش </t>
  </si>
  <si>
    <t>مكيف صحراوي 35L / *2</t>
  </si>
  <si>
    <t>يوم  الاثنين : 03/08/2026</t>
  </si>
  <si>
    <t xml:space="preserve">جري 1.5 طن </t>
  </si>
  <si>
    <t>دفعة جينيرال برو 1.5 طن</t>
  </si>
  <si>
    <t>جينيرال ديلوكس / راكين</t>
  </si>
  <si>
    <t>يوم  الثلاثاء : 04/08/2026</t>
  </si>
  <si>
    <t>دفعة نسمه 1.5 طن</t>
  </si>
  <si>
    <t xml:space="preserve">جري كليفيا 2 طن </t>
  </si>
  <si>
    <t>باقي حساب جينيرال برو 1.5 طن</t>
  </si>
  <si>
    <t>دفعة كيلون 1.5 طن</t>
  </si>
  <si>
    <t>دفعة هاير دايموند 1 طن / ابو الخيل</t>
  </si>
  <si>
    <t xml:space="preserve">قاعدة *1 </t>
  </si>
  <si>
    <t>جينيرال ديلوكس 1 طن مع 3 قواعد</t>
  </si>
  <si>
    <t>نسمه 1 طن *3 / العيدي</t>
  </si>
  <si>
    <t>باقي حساب نسمه 1.5 طن  / فقوع</t>
  </si>
  <si>
    <t>هاير بريميوم 1 طن / السبعاوي</t>
  </si>
  <si>
    <t>الحباشنه / قاعدتين</t>
  </si>
  <si>
    <t xml:space="preserve"> الحباشنة / 3 قواعد </t>
  </si>
  <si>
    <t>ملاحظات : 400 تم دفعهم لشخص معين.</t>
  </si>
  <si>
    <t>ههاير دايموند 1 طن * 2</t>
  </si>
  <si>
    <t>هاير دايموند 1 طن</t>
  </si>
  <si>
    <t>حموده / تركيب *7</t>
  </si>
  <si>
    <t>ريموتات * 10</t>
  </si>
  <si>
    <t>يوم  الخميس : 06/08/2026</t>
  </si>
  <si>
    <t>جينيرال ديلوكس 1 طن / فني</t>
  </si>
  <si>
    <t>3* قاعددة</t>
  </si>
  <si>
    <t>حموده / قاعدة</t>
  </si>
  <si>
    <t>هاير بريميوم 2 طن</t>
  </si>
  <si>
    <t>يوم  الجمعة : 07/08/2026</t>
  </si>
  <si>
    <t>هاير بريميوم 1.5 طن *2 / العيدي</t>
  </si>
  <si>
    <t>كت 6 متر + 10 متر سلاك</t>
  </si>
  <si>
    <t>نسمه 1.5 طن</t>
  </si>
  <si>
    <t>يوسف تركيب *2</t>
  </si>
  <si>
    <t>يوم  الاربعاء : 05/08/2026</t>
  </si>
  <si>
    <t>حموده تركيب واصل</t>
  </si>
  <si>
    <t xml:space="preserve"> الملاحظات : لم يتم حساب حموده </t>
  </si>
  <si>
    <t xml:space="preserve">الملاحظات : حموده حسابه 65 مع خصم المواد وغيرو يبقى 30 . وتم تحويل ال 30 كليك يوم الجمعة . </t>
  </si>
  <si>
    <t>يوم  السبت : 08/08/2026</t>
  </si>
  <si>
    <t>هاير دايموند 2 طن *4 / غور</t>
  </si>
  <si>
    <t xml:space="preserve"> فرقية هاير بريميوم 1.5 طن </t>
  </si>
  <si>
    <t>هاير دايموند 1 طن / ابو سليمان</t>
  </si>
  <si>
    <t xml:space="preserve"> هاير بريميوم 2 طن </t>
  </si>
  <si>
    <t>نسمه 1 طن / لين الاربعاء</t>
  </si>
  <si>
    <t xml:space="preserve">لملاحظات زبون اعطاني 50 رجعت 30 من كليك المحل . البريميوم بدل الكيلون </t>
  </si>
  <si>
    <t>يوسف تركيب</t>
  </si>
  <si>
    <t xml:space="preserve">دفعة هاير بريميوم 1 طن / بكرا </t>
  </si>
  <si>
    <t>يوم  الاحد : 09/08/2026</t>
  </si>
  <si>
    <t>DRAIN</t>
  </si>
  <si>
    <t xml:space="preserve">منظفات </t>
  </si>
  <si>
    <t>فاتورة كهرباء</t>
  </si>
  <si>
    <t>خط مامون</t>
  </si>
  <si>
    <t>خط المحل</t>
  </si>
  <si>
    <t xml:space="preserve">مروحة فان ستار </t>
  </si>
  <si>
    <t>باقي حساب هاير بريميوم 1 طن</t>
  </si>
  <si>
    <t>لم يتم حساب حموده على التركيب</t>
  </si>
  <si>
    <t xml:space="preserve">ابو نواف </t>
  </si>
  <si>
    <t>يوم  الاثنين : 10/08/2026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</si>
</sst>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78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Arial"/>
      <family val="2"/>
    </font>
    <font>
      <b/>
      <sz val="12"/>
      <color theme="1"/>
      <name val="Arial Narrow"/>
      <family val="2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4" borderId="15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top" wrapText="1" readingOrder="2"/>
    </xf>
    <xf numFmtId="0" fontId="3" fillId="0" borderId="5" xfId="0" applyFont="1" applyBorder="1" applyAlignment="1">
      <alignment horizontal="right" vertical="top" wrapText="1" readingOrder="2"/>
    </xf>
    <xf numFmtId="0" fontId="3" fillId="0" borderId="6" xfId="0" applyFont="1" applyBorder="1" applyAlignment="1">
      <alignment horizontal="right" vertical="top" wrapText="1" readingOrder="2"/>
    </xf>
    <xf numFmtId="0" fontId="3" fillId="0" borderId="31" xfId="0" applyFont="1" applyBorder="1" applyAlignment="1">
      <alignment horizontal="right" vertical="top" wrapText="1" readingOrder="2"/>
    </xf>
    <xf numFmtId="0" fontId="3" fillId="0" borderId="0" xfId="0" applyFont="1" applyBorder="1" applyAlignment="1">
      <alignment horizontal="right" vertical="top" wrapText="1" readingOrder="2"/>
    </xf>
    <xf numFmtId="0" fontId="3" fillId="0" borderId="32" xfId="0" applyFont="1" applyBorder="1" applyAlignment="1">
      <alignment horizontal="right" vertical="top" wrapText="1" readingOrder="2"/>
    </xf>
    <xf numFmtId="0" fontId="3" fillId="0" borderId="33" xfId="0" applyFont="1" applyBorder="1" applyAlignment="1">
      <alignment horizontal="right" vertical="top" wrapText="1" readingOrder="2"/>
    </xf>
    <xf numFmtId="0" fontId="3" fillId="0" borderId="34" xfId="0" applyFont="1" applyBorder="1" applyAlignment="1">
      <alignment horizontal="right" vertical="top" wrapText="1" readingOrder="2"/>
    </xf>
    <xf numFmtId="0" fontId="3" fillId="0" borderId="35" xfId="0" applyFont="1" applyBorder="1" applyAlignment="1">
      <alignment horizontal="right" vertical="top" wrapText="1" readingOrder="2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0"/>
  <sheetViews>
    <sheetView topLeftCell="A319" zoomScaleNormal="100" workbookViewId="0">
      <selection activeCell="D289" sqref="D289"/>
    </sheetView>
  </sheetViews>
  <sheetFormatPr defaultRowHeight="15" x14ac:dyDescent="0.25"/>
  <cols>
    <col min="1" max="1" width="9.140625" customWidth="1"/>
    <col min="3" max="3" width="5" customWidth="1"/>
    <col min="4" max="4" width="8.7109375" customWidth="1"/>
    <col min="5" max="5" width="8.140625" customWidth="1"/>
    <col min="6" max="6" width="7.85546875" customWidth="1"/>
    <col min="7" max="7" width="7.5703125" customWidth="1"/>
    <col min="8" max="8" width="9.140625" customWidth="1"/>
    <col min="9" max="9" width="33.7109375" customWidth="1"/>
  </cols>
  <sheetData>
    <row r="1" spans="1:9" ht="23.25" thickBot="1" x14ac:dyDescent="0.35">
      <c r="A1" s="251" t="s">
        <v>0</v>
      </c>
      <c r="B1" s="252"/>
      <c r="C1" s="252"/>
      <c r="D1" s="252"/>
      <c r="E1" s="252"/>
      <c r="F1" s="252"/>
      <c r="G1" s="252"/>
      <c r="H1" s="252"/>
      <c r="I1" s="253"/>
    </row>
    <row r="2" spans="1:9" ht="19.5" thickBot="1" x14ac:dyDescent="0.35">
      <c r="A2" s="254" t="s">
        <v>1</v>
      </c>
      <c r="B2" s="255"/>
      <c r="C2" s="255"/>
      <c r="D2" s="254" t="s">
        <v>2</v>
      </c>
      <c r="E2" s="255"/>
      <c r="F2" s="255"/>
      <c r="G2" s="255"/>
      <c r="H2" s="255"/>
      <c r="I2" s="256"/>
    </row>
    <row r="3" spans="1:9" ht="19.5" thickBot="1" x14ac:dyDescent="0.35">
      <c r="A3" s="1" t="s">
        <v>3</v>
      </c>
      <c r="B3" s="257" t="s">
        <v>4</v>
      </c>
      <c r="C3" s="258"/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3" t="s">
        <v>10</v>
      </c>
    </row>
    <row r="4" spans="1:9" ht="16.5" thickBot="1" x14ac:dyDescent="0.3">
      <c r="A4" s="4">
        <v>13.2</v>
      </c>
      <c r="B4" s="259" t="s">
        <v>27</v>
      </c>
      <c r="C4" s="259"/>
      <c r="D4" s="4"/>
      <c r="E4" s="4"/>
      <c r="F4" s="4">
        <v>475</v>
      </c>
      <c r="G4" s="4"/>
      <c r="H4" s="25"/>
      <c r="I4" s="26" t="s">
        <v>21</v>
      </c>
    </row>
    <row r="5" spans="1:9" ht="15.75" x14ac:dyDescent="0.25">
      <c r="A5" s="6">
        <v>48.5</v>
      </c>
      <c r="B5" s="260" t="s">
        <v>28</v>
      </c>
      <c r="C5" s="261"/>
      <c r="D5" s="4">
        <v>665</v>
      </c>
      <c r="E5" s="4"/>
      <c r="F5" s="4"/>
      <c r="G5" s="4"/>
      <c r="H5" s="4">
        <v>500</v>
      </c>
      <c r="I5" s="37" t="s">
        <v>22</v>
      </c>
    </row>
    <row r="6" spans="1:9" ht="15.75" x14ac:dyDescent="0.25">
      <c r="A6" s="6">
        <v>5</v>
      </c>
      <c r="B6" s="245" t="s">
        <v>29</v>
      </c>
      <c r="C6" s="247"/>
      <c r="D6" s="4"/>
      <c r="E6" s="4"/>
      <c r="F6" s="4"/>
      <c r="G6" s="4"/>
      <c r="H6" s="4">
        <v>20</v>
      </c>
      <c r="I6" s="7" t="s">
        <v>23</v>
      </c>
    </row>
    <row r="7" spans="1:9" ht="15.75" x14ac:dyDescent="0.25">
      <c r="A7" s="6">
        <v>7.5</v>
      </c>
      <c r="B7" s="245" t="s">
        <v>30</v>
      </c>
      <c r="C7" s="247"/>
      <c r="D7" s="4">
        <v>40</v>
      </c>
      <c r="E7" s="4"/>
      <c r="F7" s="4"/>
      <c r="G7" s="4"/>
      <c r="H7" s="4">
        <v>30</v>
      </c>
      <c r="I7" s="7" t="s">
        <v>24</v>
      </c>
    </row>
    <row r="8" spans="1:9" ht="15.75" x14ac:dyDescent="0.25">
      <c r="A8" s="6">
        <v>50</v>
      </c>
      <c r="B8" s="245" t="s">
        <v>31</v>
      </c>
      <c r="C8" s="247"/>
      <c r="D8" s="4"/>
      <c r="E8" s="4"/>
      <c r="F8" s="4"/>
      <c r="G8" s="4"/>
      <c r="H8" s="4">
        <v>545</v>
      </c>
      <c r="I8" s="7" t="s">
        <v>25</v>
      </c>
    </row>
    <row r="9" spans="1:9" ht="15.75" x14ac:dyDescent="0.25">
      <c r="A9" s="8"/>
      <c r="B9" s="250"/>
      <c r="C9" s="247"/>
      <c r="D9" s="4">
        <v>525</v>
      </c>
      <c r="E9" s="4"/>
      <c r="F9" s="4"/>
      <c r="G9" s="4"/>
      <c r="H9" s="4"/>
      <c r="I9" s="7" t="s">
        <v>26</v>
      </c>
    </row>
    <row r="10" spans="1:9" ht="15.75" x14ac:dyDescent="0.25">
      <c r="A10" s="6"/>
      <c r="B10" s="245"/>
      <c r="C10" s="247"/>
      <c r="D10" s="4"/>
      <c r="E10" s="4"/>
      <c r="F10" s="4"/>
      <c r="G10" s="4"/>
      <c r="H10" s="4"/>
      <c r="I10" s="9"/>
    </row>
    <row r="11" spans="1:9" ht="15.75" x14ac:dyDescent="0.25">
      <c r="A11" s="6"/>
      <c r="B11" s="245"/>
      <c r="C11" s="247"/>
      <c r="D11" s="4"/>
      <c r="E11" s="4"/>
      <c r="F11" s="4"/>
      <c r="G11" s="4"/>
      <c r="H11" s="4"/>
      <c r="I11" s="7"/>
    </row>
    <row r="12" spans="1:9" ht="15.75" x14ac:dyDescent="0.25">
      <c r="A12" s="6"/>
      <c r="B12" s="245"/>
      <c r="C12" s="247"/>
      <c r="D12" s="4"/>
      <c r="E12" s="4"/>
      <c r="F12" s="4"/>
      <c r="G12" s="4"/>
      <c r="H12" s="4"/>
      <c r="I12" s="7"/>
    </row>
    <row r="13" spans="1:9" ht="15.75" x14ac:dyDescent="0.25">
      <c r="A13" s="6"/>
      <c r="B13" s="245"/>
      <c r="C13" s="247"/>
      <c r="D13" s="4"/>
      <c r="E13" s="4"/>
      <c r="F13" s="4"/>
      <c r="G13" s="4"/>
      <c r="H13" s="4"/>
      <c r="I13" s="7"/>
    </row>
    <row r="14" spans="1:9" ht="15.75" x14ac:dyDescent="0.25">
      <c r="A14" s="6"/>
      <c r="B14" s="245"/>
      <c r="C14" s="247"/>
      <c r="D14" s="4"/>
      <c r="E14" s="4"/>
      <c r="F14" s="4"/>
      <c r="G14" s="4"/>
      <c r="H14" s="4"/>
      <c r="I14" s="9"/>
    </row>
    <row r="15" spans="1:9" ht="15.75" x14ac:dyDescent="0.25">
      <c r="A15" s="6"/>
      <c r="B15" s="245"/>
      <c r="C15" s="247"/>
      <c r="D15" s="4"/>
      <c r="E15" s="4"/>
      <c r="F15" s="4"/>
      <c r="G15" s="4"/>
      <c r="H15" s="4"/>
      <c r="I15" s="9"/>
    </row>
    <row r="16" spans="1:9" ht="15.75" x14ac:dyDescent="0.25">
      <c r="A16" s="6"/>
      <c r="B16" s="245"/>
      <c r="C16" s="247"/>
      <c r="D16" s="4"/>
      <c r="E16" s="4"/>
      <c r="F16" s="4"/>
      <c r="G16" s="4"/>
      <c r="H16" s="4"/>
      <c r="I16" s="9"/>
    </row>
    <row r="17" spans="1:9" ht="15.75" x14ac:dyDescent="0.25">
      <c r="A17" s="6"/>
      <c r="B17" s="245"/>
      <c r="C17" s="247"/>
      <c r="D17" s="4"/>
      <c r="E17" s="4"/>
      <c r="F17" s="4"/>
      <c r="G17" s="4"/>
      <c r="H17" s="4"/>
      <c r="I17" s="9"/>
    </row>
    <row r="18" spans="1:9" ht="15.75" x14ac:dyDescent="0.25">
      <c r="A18" s="6"/>
      <c r="B18" s="245"/>
      <c r="C18" s="247"/>
      <c r="D18" s="4"/>
      <c r="E18" s="4"/>
      <c r="F18" s="4"/>
      <c r="G18" s="4"/>
      <c r="H18" s="4"/>
      <c r="I18" s="9"/>
    </row>
    <row r="19" spans="1:9" ht="15.75" x14ac:dyDescent="0.25">
      <c r="A19" s="6"/>
      <c r="B19" s="245"/>
      <c r="C19" s="247"/>
      <c r="D19" s="4"/>
      <c r="E19" s="4"/>
      <c r="F19" s="4"/>
      <c r="G19" s="4"/>
      <c r="H19" s="4"/>
      <c r="I19" s="9"/>
    </row>
    <row r="20" spans="1:9" ht="15.75" x14ac:dyDescent="0.25">
      <c r="A20" s="6"/>
      <c r="B20" s="245"/>
      <c r="C20" s="247"/>
      <c r="D20" s="4"/>
      <c r="E20" s="4"/>
      <c r="F20" s="4"/>
      <c r="G20" s="4"/>
      <c r="H20" s="4"/>
      <c r="I20" s="9"/>
    </row>
    <row r="21" spans="1:9" ht="15.75" x14ac:dyDescent="0.25">
      <c r="A21" s="6"/>
      <c r="B21" s="245"/>
      <c r="C21" s="247"/>
      <c r="D21" s="4"/>
      <c r="E21" s="4"/>
      <c r="F21" s="4"/>
      <c r="G21" s="4"/>
      <c r="H21" s="4"/>
      <c r="I21" s="9"/>
    </row>
    <row r="22" spans="1:9" ht="15.75" x14ac:dyDescent="0.25">
      <c r="A22" s="6"/>
      <c r="B22" s="245"/>
      <c r="C22" s="247"/>
      <c r="D22" s="4"/>
      <c r="E22" s="4"/>
      <c r="F22" s="4"/>
      <c r="G22" s="4"/>
      <c r="H22" s="4"/>
      <c r="I22" s="9"/>
    </row>
    <row r="23" spans="1:9" ht="18.75" x14ac:dyDescent="0.3">
      <c r="A23" s="6"/>
      <c r="B23" s="245"/>
      <c r="C23" s="247"/>
      <c r="D23" s="5"/>
      <c r="E23" s="5"/>
      <c r="F23" s="5"/>
      <c r="G23" s="10"/>
      <c r="H23" s="5"/>
      <c r="I23" s="11"/>
    </row>
    <row r="24" spans="1:9" ht="18.75" x14ac:dyDescent="0.3">
      <c r="A24" s="12"/>
      <c r="B24" s="245"/>
      <c r="C24" s="247"/>
      <c r="D24" s="13"/>
      <c r="E24" s="13"/>
      <c r="F24" s="13"/>
      <c r="G24" s="14"/>
      <c r="H24" s="13"/>
      <c r="I24" s="15"/>
    </row>
    <row r="25" spans="1:9" ht="18.75" x14ac:dyDescent="0.3">
      <c r="A25" s="12"/>
      <c r="B25" s="245"/>
      <c r="C25" s="247"/>
      <c r="D25" s="13"/>
      <c r="E25" s="13"/>
      <c r="F25" s="13"/>
      <c r="G25" s="14"/>
      <c r="H25" s="13"/>
      <c r="I25" s="15"/>
    </row>
    <row r="26" spans="1:9" ht="19.5" thickBot="1" x14ac:dyDescent="0.35">
      <c r="A26" s="12"/>
      <c r="B26" s="248"/>
      <c r="C26" s="249"/>
      <c r="D26" s="16"/>
      <c r="E26" s="16"/>
      <c r="F26" s="16"/>
      <c r="G26" s="14"/>
      <c r="H26" s="16"/>
      <c r="I26" s="15"/>
    </row>
    <row r="27" spans="1:9" ht="16.5" thickBot="1" x14ac:dyDescent="0.3">
      <c r="A27" s="17">
        <f>SUM(A4:A26)</f>
        <v>124.2</v>
      </c>
      <c r="B27" s="241"/>
      <c r="C27" s="242"/>
      <c r="D27" s="18">
        <f>SUM(D4:D26)</f>
        <v>1230</v>
      </c>
      <c r="E27" s="19">
        <f>SUM(E4:E26)</f>
        <v>0</v>
      </c>
      <c r="F27" s="20">
        <f>SUM(F4:F26)</f>
        <v>475</v>
      </c>
      <c r="G27" s="21">
        <f>SUM(G4:G26)</f>
        <v>0</v>
      </c>
      <c r="H27" s="22">
        <f>SUM(H4:H26)</f>
        <v>1095</v>
      </c>
      <c r="I27" s="23"/>
    </row>
    <row r="28" spans="1:9" ht="16.5" thickBot="1" x14ac:dyDescent="0.3">
      <c r="A28" s="17"/>
      <c r="B28" s="243">
        <f>H27-A27</f>
        <v>970.8</v>
      </c>
      <c r="C28" s="244"/>
      <c r="D28" s="24" t="s">
        <v>11</v>
      </c>
      <c r="E28" s="245">
        <f>H27+G27+F27+E27+D27</f>
        <v>2800</v>
      </c>
      <c r="F28" s="246"/>
      <c r="G28" s="246"/>
      <c r="H28" s="247"/>
      <c r="I28" s="23" t="s">
        <v>12</v>
      </c>
    </row>
    <row r="39" spans="1:9" ht="18.75" customHeight="1" x14ac:dyDescent="0.25"/>
    <row r="47" spans="1:9" ht="15.75" thickBot="1" x14ac:dyDescent="0.3">
      <c r="I47" t="s">
        <v>13</v>
      </c>
    </row>
    <row r="48" spans="1:9" ht="23.25" thickBot="1" x14ac:dyDescent="0.35">
      <c r="A48" s="251" t="s">
        <v>32</v>
      </c>
      <c r="B48" s="252"/>
      <c r="C48" s="252"/>
      <c r="D48" s="252"/>
      <c r="E48" s="252"/>
      <c r="F48" s="252"/>
      <c r="G48" s="252"/>
      <c r="H48" s="252"/>
      <c r="I48" s="253"/>
    </row>
    <row r="49" spans="1:9" ht="19.5" thickBot="1" x14ac:dyDescent="0.35">
      <c r="A49" s="254" t="s">
        <v>1</v>
      </c>
      <c r="B49" s="255"/>
      <c r="C49" s="255"/>
      <c r="D49" s="254" t="s">
        <v>2</v>
      </c>
      <c r="E49" s="255"/>
      <c r="F49" s="255"/>
      <c r="G49" s="255"/>
      <c r="H49" s="255"/>
      <c r="I49" s="256"/>
    </row>
    <row r="50" spans="1:9" ht="19.5" thickBot="1" x14ac:dyDescent="0.35">
      <c r="A50" s="1" t="s">
        <v>3</v>
      </c>
      <c r="B50" s="257" t="s">
        <v>4</v>
      </c>
      <c r="C50" s="258"/>
      <c r="D50" s="2" t="s">
        <v>5</v>
      </c>
      <c r="E50" s="2" t="s">
        <v>6</v>
      </c>
      <c r="F50" s="2" t="s">
        <v>7</v>
      </c>
      <c r="G50" s="2" t="s">
        <v>8</v>
      </c>
      <c r="H50" s="2" t="s">
        <v>9</v>
      </c>
      <c r="I50" s="32" t="s">
        <v>10</v>
      </c>
    </row>
    <row r="51" spans="1:9" ht="16.5" thickBot="1" x14ac:dyDescent="0.3">
      <c r="A51" s="33">
        <v>109</v>
      </c>
      <c r="B51" s="259" t="s">
        <v>36</v>
      </c>
      <c r="C51" s="259"/>
      <c r="D51" s="33"/>
      <c r="E51" s="33"/>
      <c r="F51" s="33"/>
      <c r="G51" s="33"/>
      <c r="H51" s="34">
        <v>380</v>
      </c>
      <c r="I51" s="26" t="s">
        <v>15</v>
      </c>
    </row>
    <row r="52" spans="1:9" ht="15.75" x14ac:dyDescent="0.25">
      <c r="A52" s="6">
        <v>65</v>
      </c>
      <c r="B52" s="260" t="s">
        <v>37</v>
      </c>
      <c r="C52" s="261"/>
      <c r="D52" s="33"/>
      <c r="E52" s="33"/>
      <c r="F52" s="33"/>
      <c r="G52" s="33"/>
      <c r="H52" s="33">
        <v>665</v>
      </c>
      <c r="I52" s="9" t="s">
        <v>33</v>
      </c>
    </row>
    <row r="53" spans="1:9" ht="15.75" x14ac:dyDescent="0.25">
      <c r="A53" s="6">
        <v>5</v>
      </c>
      <c r="B53" s="245" t="s">
        <v>38</v>
      </c>
      <c r="C53" s="247"/>
      <c r="D53" s="33"/>
      <c r="E53" s="33"/>
      <c r="F53" s="33"/>
      <c r="G53" s="33"/>
      <c r="H53" s="33">
        <v>10</v>
      </c>
      <c r="I53" s="7" t="s">
        <v>34</v>
      </c>
    </row>
    <row r="54" spans="1:9" ht="15.75" x14ac:dyDescent="0.25">
      <c r="A54" s="6">
        <v>125</v>
      </c>
      <c r="B54" s="245" t="s">
        <v>39</v>
      </c>
      <c r="C54" s="247"/>
      <c r="D54" s="33"/>
      <c r="E54" s="33"/>
      <c r="F54" s="33"/>
      <c r="G54" s="33"/>
      <c r="H54" s="33">
        <v>10.9</v>
      </c>
      <c r="I54" s="7" t="s">
        <v>35</v>
      </c>
    </row>
    <row r="55" spans="1:9" ht="15.75" x14ac:dyDescent="0.25">
      <c r="A55" s="6">
        <v>15</v>
      </c>
      <c r="B55" s="245" t="s">
        <v>40</v>
      </c>
      <c r="C55" s="247"/>
      <c r="D55" s="33"/>
      <c r="E55" s="33"/>
      <c r="F55" s="33"/>
      <c r="G55" s="33"/>
      <c r="H55" s="33"/>
      <c r="I55" s="7"/>
    </row>
    <row r="56" spans="1:9" ht="15.75" x14ac:dyDescent="0.25">
      <c r="A56" s="8">
        <v>35</v>
      </c>
      <c r="B56" s="250" t="s">
        <v>41</v>
      </c>
      <c r="C56" s="247"/>
      <c r="D56" s="33"/>
      <c r="E56" s="33"/>
      <c r="F56" s="33"/>
      <c r="G56" s="33"/>
      <c r="H56" s="33"/>
      <c r="I56" s="7"/>
    </row>
    <row r="57" spans="1:9" ht="15.75" x14ac:dyDescent="0.25">
      <c r="A57" s="6"/>
      <c r="B57" s="245"/>
      <c r="C57" s="247"/>
      <c r="D57" s="33"/>
      <c r="E57" s="33"/>
      <c r="F57" s="33"/>
      <c r="G57" s="33"/>
      <c r="H57" s="33"/>
      <c r="I57" s="9"/>
    </row>
    <row r="58" spans="1:9" ht="15.75" x14ac:dyDescent="0.25">
      <c r="A58" s="6"/>
      <c r="B58" s="245"/>
      <c r="C58" s="247"/>
      <c r="D58" s="33"/>
      <c r="E58" s="33"/>
      <c r="F58" s="33"/>
      <c r="G58" s="33"/>
      <c r="H58" s="33"/>
      <c r="I58" s="7"/>
    </row>
    <row r="59" spans="1:9" ht="15.75" x14ac:dyDescent="0.25">
      <c r="A59" s="6"/>
      <c r="B59" s="245"/>
      <c r="C59" s="247"/>
      <c r="D59" s="33"/>
      <c r="E59" s="33"/>
      <c r="F59" s="33"/>
      <c r="G59" s="33"/>
      <c r="H59" s="33"/>
      <c r="I59" s="7"/>
    </row>
    <row r="60" spans="1:9" ht="15.75" x14ac:dyDescent="0.25">
      <c r="A60" s="6"/>
      <c r="B60" s="245"/>
      <c r="C60" s="247"/>
      <c r="D60" s="33"/>
      <c r="E60" s="33"/>
      <c r="F60" s="33"/>
      <c r="G60" s="33"/>
      <c r="H60" s="33"/>
      <c r="I60" s="7"/>
    </row>
    <row r="61" spans="1:9" ht="15.75" x14ac:dyDescent="0.25">
      <c r="A61" s="6"/>
      <c r="B61" s="245"/>
      <c r="C61" s="247"/>
      <c r="D61" s="33"/>
      <c r="E61" s="33"/>
      <c r="F61" s="33"/>
      <c r="G61" s="33"/>
      <c r="H61" s="33"/>
      <c r="I61" s="9"/>
    </row>
    <row r="62" spans="1:9" ht="15.75" x14ac:dyDescent="0.25">
      <c r="A62" s="6"/>
      <c r="B62" s="245"/>
      <c r="C62" s="247"/>
      <c r="D62" s="33"/>
      <c r="E62" s="33"/>
      <c r="F62" s="33"/>
      <c r="G62" s="33"/>
      <c r="H62" s="33"/>
      <c r="I62" s="9"/>
    </row>
    <row r="63" spans="1:9" ht="15.75" x14ac:dyDescent="0.25">
      <c r="A63" s="6"/>
      <c r="B63" s="245"/>
      <c r="C63" s="247"/>
      <c r="D63" s="33"/>
      <c r="E63" s="33"/>
      <c r="F63" s="33"/>
      <c r="G63" s="33"/>
      <c r="H63" s="33"/>
      <c r="I63" s="9"/>
    </row>
    <row r="64" spans="1:9" ht="15.75" x14ac:dyDescent="0.25">
      <c r="A64" s="6"/>
      <c r="B64" s="245"/>
      <c r="C64" s="247"/>
      <c r="D64" s="33"/>
      <c r="E64" s="33"/>
      <c r="F64" s="33"/>
      <c r="G64" s="33"/>
      <c r="H64" s="33"/>
      <c r="I64" s="9"/>
    </row>
    <row r="65" spans="1:9" ht="15.75" x14ac:dyDescent="0.25">
      <c r="A65" s="6"/>
      <c r="B65" s="245"/>
      <c r="C65" s="247"/>
      <c r="D65" s="33"/>
      <c r="E65" s="33"/>
      <c r="F65" s="33"/>
      <c r="G65" s="33"/>
      <c r="H65" s="33"/>
      <c r="I65" s="9"/>
    </row>
    <row r="66" spans="1:9" ht="15.75" x14ac:dyDescent="0.25">
      <c r="A66" s="6"/>
      <c r="B66" s="245"/>
      <c r="C66" s="247"/>
      <c r="D66" s="33"/>
      <c r="E66" s="33"/>
      <c r="F66" s="33"/>
      <c r="G66" s="33"/>
      <c r="H66" s="33"/>
      <c r="I66" s="9"/>
    </row>
    <row r="67" spans="1:9" ht="15.75" x14ac:dyDescent="0.25">
      <c r="A67" s="6"/>
      <c r="B67" s="245"/>
      <c r="C67" s="247"/>
      <c r="D67" s="33"/>
      <c r="E67" s="33"/>
      <c r="F67" s="33"/>
      <c r="G67" s="33"/>
      <c r="H67" s="33"/>
      <c r="I67" s="9"/>
    </row>
    <row r="68" spans="1:9" ht="15.75" x14ac:dyDescent="0.25">
      <c r="A68" s="6"/>
      <c r="B68" s="245"/>
      <c r="C68" s="247"/>
      <c r="D68" s="33"/>
      <c r="E68" s="33"/>
      <c r="F68" s="33"/>
      <c r="G68" s="33"/>
      <c r="H68" s="33"/>
      <c r="I68" s="9"/>
    </row>
    <row r="69" spans="1:9" ht="15.75" x14ac:dyDescent="0.25">
      <c r="A69" s="6"/>
      <c r="B69" s="245"/>
      <c r="C69" s="247"/>
      <c r="D69" s="33"/>
      <c r="E69" s="33"/>
      <c r="F69" s="33"/>
      <c r="G69" s="33"/>
      <c r="H69" s="33"/>
      <c r="I69" s="9"/>
    </row>
    <row r="70" spans="1:9" ht="18.75" x14ac:dyDescent="0.3">
      <c r="A70" s="6"/>
      <c r="B70" s="245"/>
      <c r="C70" s="247"/>
      <c r="D70" s="5"/>
      <c r="E70" s="5"/>
      <c r="F70" s="5"/>
      <c r="G70" s="10"/>
      <c r="H70" s="5"/>
      <c r="I70" s="11"/>
    </row>
    <row r="71" spans="1:9" ht="18.75" x14ac:dyDescent="0.3">
      <c r="A71" s="12"/>
      <c r="B71" s="245"/>
      <c r="C71" s="247"/>
      <c r="D71" s="13"/>
      <c r="E71" s="13"/>
      <c r="F71" s="13"/>
      <c r="G71" s="14"/>
      <c r="H71" s="13"/>
      <c r="I71" s="15"/>
    </row>
    <row r="72" spans="1:9" ht="18.75" x14ac:dyDescent="0.3">
      <c r="A72" s="12"/>
      <c r="B72" s="245"/>
      <c r="C72" s="247"/>
      <c r="D72" s="13"/>
      <c r="E72" s="13"/>
      <c r="F72" s="13"/>
      <c r="G72" s="14"/>
      <c r="H72" s="13"/>
      <c r="I72" s="15"/>
    </row>
    <row r="73" spans="1:9" ht="19.5" thickBot="1" x14ac:dyDescent="0.35">
      <c r="A73" s="12"/>
      <c r="B73" s="248"/>
      <c r="C73" s="249"/>
      <c r="D73" s="16"/>
      <c r="E73" s="16"/>
      <c r="F73" s="16"/>
      <c r="G73" s="14"/>
      <c r="H73" s="16"/>
      <c r="I73" s="15"/>
    </row>
    <row r="74" spans="1:9" ht="16.5" thickBot="1" x14ac:dyDescent="0.3">
      <c r="A74" s="17">
        <f>SUM(A51:A73)</f>
        <v>354</v>
      </c>
      <c r="B74" s="241"/>
      <c r="C74" s="242"/>
      <c r="D74" s="18">
        <f>SUM(D51:D73)</f>
        <v>0</v>
      </c>
      <c r="E74" s="19">
        <f>SUM(E51:E73)</f>
        <v>0</v>
      </c>
      <c r="F74" s="20">
        <f>SUM(F51:F73)</f>
        <v>0</v>
      </c>
      <c r="G74" s="21">
        <f>SUM(G51:G73)</f>
        <v>0</v>
      </c>
      <c r="H74" s="22">
        <f>SUM(H51:H73)</f>
        <v>1065.9000000000001</v>
      </c>
      <c r="I74" s="35"/>
    </row>
    <row r="75" spans="1:9" ht="16.5" thickBot="1" x14ac:dyDescent="0.3">
      <c r="A75" s="17"/>
      <c r="B75" s="243">
        <f>H74-A74</f>
        <v>711.90000000000009</v>
      </c>
      <c r="C75" s="244"/>
      <c r="D75" s="36" t="s">
        <v>11</v>
      </c>
      <c r="E75" s="245">
        <f>H74+G74+F74+E74+D74</f>
        <v>1065.9000000000001</v>
      </c>
      <c r="F75" s="246"/>
      <c r="G75" s="246"/>
      <c r="H75" s="247"/>
      <c r="I75" s="35" t="s">
        <v>12</v>
      </c>
    </row>
    <row r="94" spans="1:9" ht="15.75" thickBot="1" x14ac:dyDescent="0.3"/>
    <row r="95" spans="1:9" ht="23.25" thickBot="1" x14ac:dyDescent="0.35">
      <c r="A95" s="251" t="s">
        <v>42</v>
      </c>
      <c r="B95" s="252"/>
      <c r="C95" s="252"/>
      <c r="D95" s="252"/>
      <c r="E95" s="252"/>
      <c r="F95" s="252"/>
      <c r="G95" s="252"/>
      <c r="H95" s="252"/>
      <c r="I95" s="253"/>
    </row>
    <row r="96" spans="1:9" ht="19.5" thickBot="1" x14ac:dyDescent="0.35">
      <c r="A96" s="254" t="s">
        <v>1</v>
      </c>
      <c r="B96" s="255"/>
      <c r="C96" s="255"/>
      <c r="D96" s="254" t="s">
        <v>2</v>
      </c>
      <c r="E96" s="255"/>
      <c r="F96" s="255"/>
      <c r="G96" s="255"/>
      <c r="H96" s="255"/>
      <c r="I96" s="256"/>
    </row>
    <row r="97" spans="1:9" ht="19.5" thickBot="1" x14ac:dyDescent="0.35">
      <c r="A97" s="1" t="s">
        <v>3</v>
      </c>
      <c r="B97" s="257" t="s">
        <v>4</v>
      </c>
      <c r="C97" s="258"/>
      <c r="D97" s="2" t="s">
        <v>5</v>
      </c>
      <c r="E97" s="2" t="s">
        <v>6</v>
      </c>
      <c r="F97" s="2" t="s">
        <v>7</v>
      </c>
      <c r="G97" s="2" t="s">
        <v>8</v>
      </c>
      <c r="H97" s="2" t="s">
        <v>9</v>
      </c>
      <c r="I97" s="32" t="s">
        <v>10</v>
      </c>
    </row>
    <row r="98" spans="1:9" ht="16.5" thickBot="1" x14ac:dyDescent="0.3">
      <c r="A98" s="33">
        <v>35</v>
      </c>
      <c r="B98" s="259" t="s">
        <v>43</v>
      </c>
      <c r="C98" s="259"/>
      <c r="D98" s="33"/>
      <c r="E98" s="33"/>
      <c r="F98" s="33"/>
      <c r="G98" s="33"/>
      <c r="H98" s="34">
        <v>500</v>
      </c>
      <c r="I98" s="26" t="s">
        <v>14</v>
      </c>
    </row>
    <row r="99" spans="1:9" ht="15.75" x14ac:dyDescent="0.25">
      <c r="A99" s="6"/>
      <c r="B99" s="260"/>
      <c r="C99" s="261"/>
      <c r="D99" s="33"/>
      <c r="E99" s="33"/>
      <c r="F99" s="33"/>
      <c r="G99" s="33"/>
      <c r="H99" s="33"/>
      <c r="I99" s="9"/>
    </row>
    <row r="100" spans="1:9" ht="15.75" x14ac:dyDescent="0.25">
      <c r="A100" s="6"/>
      <c r="B100" s="245"/>
      <c r="C100" s="247"/>
      <c r="D100" s="33"/>
      <c r="E100" s="33"/>
      <c r="F100" s="33"/>
      <c r="G100" s="33"/>
      <c r="H100" s="33"/>
      <c r="I100" s="7"/>
    </row>
    <row r="101" spans="1:9" ht="15.75" x14ac:dyDescent="0.25">
      <c r="A101" s="6"/>
      <c r="B101" s="245"/>
      <c r="C101" s="247"/>
      <c r="D101" s="33"/>
      <c r="E101" s="33"/>
      <c r="F101" s="33"/>
      <c r="G101" s="33"/>
      <c r="H101" s="33"/>
      <c r="I101" s="7"/>
    </row>
    <row r="102" spans="1:9" ht="15.75" x14ac:dyDescent="0.25">
      <c r="A102" s="6"/>
      <c r="B102" s="245"/>
      <c r="C102" s="247"/>
      <c r="D102" s="33"/>
      <c r="E102" s="33"/>
      <c r="F102" s="33"/>
      <c r="G102" s="33"/>
      <c r="H102" s="33"/>
      <c r="I102" s="7"/>
    </row>
    <row r="103" spans="1:9" ht="15.75" x14ac:dyDescent="0.25">
      <c r="A103" s="8"/>
      <c r="B103" s="250"/>
      <c r="C103" s="247"/>
      <c r="D103" s="33"/>
      <c r="E103" s="33"/>
      <c r="F103" s="33"/>
      <c r="G103" s="33"/>
      <c r="H103" s="33"/>
      <c r="I103" s="7"/>
    </row>
    <row r="104" spans="1:9" ht="15.75" x14ac:dyDescent="0.25">
      <c r="A104" s="6"/>
      <c r="B104" s="245"/>
      <c r="C104" s="247"/>
      <c r="D104" s="33"/>
      <c r="E104" s="33"/>
      <c r="F104" s="33"/>
      <c r="G104" s="33"/>
      <c r="H104" s="33"/>
      <c r="I104" s="9"/>
    </row>
    <row r="105" spans="1:9" ht="15.75" x14ac:dyDescent="0.25">
      <c r="A105" s="6"/>
      <c r="B105" s="245"/>
      <c r="C105" s="247"/>
      <c r="D105" s="33"/>
      <c r="E105" s="33"/>
      <c r="F105" s="33"/>
      <c r="G105" s="33"/>
      <c r="H105" s="33"/>
      <c r="I105" s="7"/>
    </row>
    <row r="106" spans="1:9" ht="15.75" x14ac:dyDescent="0.25">
      <c r="A106" s="6"/>
      <c r="B106" s="245"/>
      <c r="C106" s="247"/>
      <c r="D106" s="33"/>
      <c r="E106" s="33"/>
      <c r="F106" s="33"/>
      <c r="G106" s="33"/>
      <c r="H106" s="33"/>
      <c r="I106" s="7"/>
    </row>
    <row r="107" spans="1:9" ht="15.75" x14ac:dyDescent="0.25">
      <c r="A107" s="6"/>
      <c r="B107" s="245"/>
      <c r="C107" s="247"/>
      <c r="D107" s="33"/>
      <c r="E107" s="33"/>
      <c r="F107" s="33"/>
      <c r="G107" s="33"/>
      <c r="H107" s="33"/>
      <c r="I107" s="7"/>
    </row>
    <row r="108" spans="1:9" ht="15.75" x14ac:dyDescent="0.25">
      <c r="A108" s="6"/>
      <c r="B108" s="245"/>
      <c r="C108" s="247"/>
      <c r="D108" s="33"/>
      <c r="E108" s="33"/>
      <c r="F108" s="33"/>
      <c r="G108" s="33"/>
      <c r="H108" s="33"/>
      <c r="I108" s="9"/>
    </row>
    <row r="109" spans="1:9" ht="15.75" x14ac:dyDescent="0.25">
      <c r="A109" s="6"/>
      <c r="B109" s="245"/>
      <c r="C109" s="247"/>
      <c r="D109" s="33"/>
      <c r="E109" s="33"/>
      <c r="F109" s="33"/>
      <c r="G109" s="33"/>
      <c r="H109" s="33"/>
      <c r="I109" s="9"/>
    </row>
    <row r="110" spans="1:9" ht="15.75" x14ac:dyDescent="0.25">
      <c r="A110" s="6"/>
      <c r="B110" s="245"/>
      <c r="C110" s="247"/>
      <c r="D110" s="33"/>
      <c r="E110" s="33"/>
      <c r="F110" s="33"/>
      <c r="G110" s="33"/>
      <c r="H110" s="33"/>
      <c r="I110" s="9"/>
    </row>
    <row r="111" spans="1:9" ht="15.75" x14ac:dyDescent="0.25">
      <c r="A111" s="6"/>
      <c r="B111" s="245"/>
      <c r="C111" s="247"/>
      <c r="D111" s="33"/>
      <c r="E111" s="33"/>
      <c r="F111" s="33"/>
      <c r="G111" s="33"/>
      <c r="H111" s="33"/>
      <c r="I111" s="9"/>
    </row>
    <row r="112" spans="1:9" ht="15.75" x14ac:dyDescent="0.25">
      <c r="A112" s="6"/>
      <c r="B112" s="245"/>
      <c r="C112" s="247"/>
      <c r="D112" s="33"/>
      <c r="E112" s="33"/>
      <c r="F112" s="33"/>
      <c r="G112" s="33"/>
      <c r="H112" s="33"/>
      <c r="I112" s="9"/>
    </row>
    <row r="113" spans="1:9" ht="15.75" x14ac:dyDescent="0.25">
      <c r="A113" s="6"/>
      <c r="B113" s="245"/>
      <c r="C113" s="247"/>
      <c r="D113" s="33"/>
      <c r="E113" s="33"/>
      <c r="F113" s="33"/>
      <c r="G113" s="33"/>
      <c r="H113" s="33"/>
      <c r="I113" s="9"/>
    </row>
    <row r="114" spans="1:9" ht="15.75" x14ac:dyDescent="0.25">
      <c r="A114" s="6"/>
      <c r="B114" s="245"/>
      <c r="C114" s="247"/>
      <c r="D114" s="33"/>
      <c r="E114" s="33"/>
      <c r="F114" s="33"/>
      <c r="G114" s="33"/>
      <c r="H114" s="33"/>
      <c r="I114" s="9"/>
    </row>
    <row r="115" spans="1:9" ht="15.75" x14ac:dyDescent="0.25">
      <c r="A115" s="6"/>
      <c r="B115" s="245"/>
      <c r="C115" s="247"/>
      <c r="D115" s="33"/>
      <c r="E115" s="33"/>
      <c r="F115" s="33"/>
      <c r="G115" s="33"/>
      <c r="H115" s="33"/>
      <c r="I115" s="9"/>
    </row>
    <row r="116" spans="1:9" ht="15.75" x14ac:dyDescent="0.25">
      <c r="A116" s="6"/>
      <c r="B116" s="245"/>
      <c r="C116" s="247"/>
      <c r="D116" s="33"/>
      <c r="E116" s="33"/>
      <c r="F116" s="33"/>
      <c r="G116" s="33"/>
      <c r="H116" s="33"/>
      <c r="I116" s="9"/>
    </row>
    <row r="117" spans="1:9" ht="18.75" x14ac:dyDescent="0.3">
      <c r="A117" s="6"/>
      <c r="B117" s="245"/>
      <c r="C117" s="247"/>
      <c r="D117" s="5"/>
      <c r="E117" s="5"/>
      <c r="F117" s="5"/>
      <c r="G117" s="10"/>
      <c r="H117" s="5"/>
      <c r="I117" s="11"/>
    </row>
    <row r="118" spans="1:9" ht="18.75" x14ac:dyDescent="0.3">
      <c r="A118" s="12"/>
      <c r="B118" s="245"/>
      <c r="C118" s="247"/>
      <c r="D118" s="13"/>
      <c r="E118" s="13"/>
      <c r="F118" s="13"/>
      <c r="G118" s="14"/>
      <c r="H118" s="13"/>
      <c r="I118" s="15"/>
    </row>
    <row r="119" spans="1:9" ht="18.75" x14ac:dyDescent="0.3">
      <c r="A119" s="12"/>
      <c r="B119" s="245"/>
      <c r="C119" s="247"/>
      <c r="D119" s="13"/>
      <c r="E119" s="13"/>
      <c r="F119" s="13"/>
      <c r="G119" s="14"/>
      <c r="H119" s="13"/>
      <c r="I119" s="15"/>
    </row>
    <row r="120" spans="1:9" ht="19.5" thickBot="1" x14ac:dyDescent="0.35">
      <c r="A120" s="12"/>
      <c r="B120" s="248"/>
      <c r="C120" s="249"/>
      <c r="D120" s="16"/>
      <c r="E120" s="16"/>
      <c r="F120" s="16"/>
      <c r="G120" s="14"/>
      <c r="H120" s="16"/>
      <c r="I120" s="15"/>
    </row>
    <row r="121" spans="1:9" ht="16.5" thickBot="1" x14ac:dyDescent="0.3">
      <c r="A121" s="17">
        <f>SUM(A98:A120)</f>
        <v>35</v>
      </c>
      <c r="B121" s="241"/>
      <c r="C121" s="242"/>
      <c r="D121" s="18">
        <f>SUM(D98:D120)</f>
        <v>0</v>
      </c>
      <c r="E121" s="19">
        <f>SUM(E98:E120)</f>
        <v>0</v>
      </c>
      <c r="F121" s="20">
        <f>SUM(F98:F120)</f>
        <v>0</v>
      </c>
      <c r="G121" s="21">
        <f>SUM(G98:G120)</f>
        <v>0</v>
      </c>
      <c r="H121" s="22">
        <f>SUM(H98:H120)</f>
        <v>500</v>
      </c>
      <c r="I121" s="35"/>
    </row>
    <row r="122" spans="1:9" ht="16.5" thickBot="1" x14ac:dyDescent="0.3">
      <c r="A122" s="17"/>
      <c r="B122" s="243">
        <f>H121-A121</f>
        <v>465</v>
      </c>
      <c r="C122" s="244"/>
      <c r="D122" s="36" t="s">
        <v>11</v>
      </c>
      <c r="E122" s="245">
        <f>H121+G121+F121+E121+D121</f>
        <v>500</v>
      </c>
      <c r="F122" s="246"/>
      <c r="G122" s="246"/>
      <c r="H122" s="247"/>
      <c r="I122" s="35" t="s">
        <v>12</v>
      </c>
    </row>
    <row r="141" spans="1:9" ht="15.75" thickBot="1" x14ac:dyDescent="0.3"/>
    <row r="142" spans="1:9" ht="23.25" thickBot="1" x14ac:dyDescent="0.35">
      <c r="A142" s="251" t="s">
        <v>44</v>
      </c>
      <c r="B142" s="252"/>
      <c r="C142" s="252"/>
      <c r="D142" s="252"/>
      <c r="E142" s="252"/>
      <c r="F142" s="252"/>
      <c r="G142" s="252"/>
      <c r="H142" s="252"/>
      <c r="I142" s="253"/>
    </row>
    <row r="143" spans="1:9" ht="19.5" thickBot="1" x14ac:dyDescent="0.35">
      <c r="A143" s="254" t="s">
        <v>1</v>
      </c>
      <c r="B143" s="255"/>
      <c r="C143" s="255"/>
      <c r="D143" s="254" t="s">
        <v>2</v>
      </c>
      <c r="E143" s="255"/>
      <c r="F143" s="255"/>
      <c r="G143" s="255"/>
      <c r="H143" s="255"/>
      <c r="I143" s="256"/>
    </row>
    <row r="144" spans="1:9" ht="19.5" thickBot="1" x14ac:dyDescent="0.35">
      <c r="A144" s="1" t="s">
        <v>3</v>
      </c>
      <c r="B144" s="257" t="s">
        <v>4</v>
      </c>
      <c r="C144" s="258"/>
      <c r="D144" s="2" t="s">
        <v>5</v>
      </c>
      <c r="E144" s="2" t="s">
        <v>6</v>
      </c>
      <c r="F144" s="2" t="s">
        <v>7</v>
      </c>
      <c r="G144" s="2" t="s">
        <v>8</v>
      </c>
      <c r="H144" s="2" t="s">
        <v>9</v>
      </c>
      <c r="I144" s="32" t="s">
        <v>10</v>
      </c>
    </row>
    <row r="145" spans="1:9" ht="16.5" thickBot="1" x14ac:dyDescent="0.3">
      <c r="A145" s="33">
        <v>25</v>
      </c>
      <c r="B145" s="259" t="s">
        <v>46</v>
      </c>
      <c r="C145" s="259"/>
      <c r="D145" s="33"/>
      <c r="E145" s="33"/>
      <c r="F145" s="33"/>
      <c r="G145" s="33"/>
      <c r="H145" s="34">
        <v>500</v>
      </c>
      <c r="I145" s="26" t="s">
        <v>17</v>
      </c>
    </row>
    <row r="146" spans="1:9" ht="15.75" x14ac:dyDescent="0.25">
      <c r="A146" s="6"/>
      <c r="B146" s="260"/>
      <c r="C146" s="261"/>
      <c r="D146" s="33"/>
      <c r="E146" s="33"/>
      <c r="F146" s="33"/>
      <c r="G146" s="33"/>
      <c r="H146" s="33">
        <v>5</v>
      </c>
      <c r="I146" s="38" t="s">
        <v>45</v>
      </c>
    </row>
    <row r="147" spans="1:9" ht="15.75" x14ac:dyDescent="0.25">
      <c r="A147" s="6"/>
      <c r="B147" s="245"/>
      <c r="C147" s="247"/>
      <c r="D147" s="33"/>
      <c r="E147" s="33"/>
      <c r="F147" s="33"/>
      <c r="G147" s="33"/>
      <c r="H147" s="33"/>
      <c r="I147" s="7"/>
    </row>
    <row r="148" spans="1:9" ht="15.75" x14ac:dyDescent="0.25">
      <c r="A148" s="6"/>
      <c r="B148" s="245"/>
      <c r="C148" s="247"/>
      <c r="D148" s="33"/>
      <c r="E148" s="33"/>
      <c r="F148" s="33"/>
      <c r="G148" s="33"/>
      <c r="H148" s="33"/>
      <c r="I148" s="7"/>
    </row>
    <row r="149" spans="1:9" ht="15.75" x14ac:dyDescent="0.25">
      <c r="A149" s="6"/>
      <c r="B149" s="245"/>
      <c r="C149" s="247"/>
      <c r="D149" s="33"/>
      <c r="E149" s="33"/>
      <c r="F149" s="33"/>
      <c r="G149" s="33"/>
      <c r="H149" s="33"/>
      <c r="I149" s="7"/>
    </row>
    <row r="150" spans="1:9" ht="15.75" x14ac:dyDescent="0.25">
      <c r="A150" s="8"/>
      <c r="B150" s="250"/>
      <c r="C150" s="247"/>
      <c r="D150" s="33"/>
      <c r="E150" s="33"/>
      <c r="F150" s="33"/>
      <c r="G150" s="33"/>
      <c r="H150" s="33"/>
      <c r="I150" s="7"/>
    </row>
    <row r="151" spans="1:9" ht="15.75" x14ac:dyDescent="0.25">
      <c r="A151" s="6"/>
      <c r="B151" s="245"/>
      <c r="C151" s="247"/>
      <c r="D151" s="33"/>
      <c r="E151" s="33"/>
      <c r="F151" s="33"/>
      <c r="G151" s="33"/>
      <c r="H151" s="33"/>
      <c r="I151" s="9"/>
    </row>
    <row r="152" spans="1:9" ht="15.75" x14ac:dyDescent="0.25">
      <c r="A152" s="6"/>
      <c r="B152" s="245"/>
      <c r="C152" s="247"/>
      <c r="D152" s="33"/>
      <c r="E152" s="33"/>
      <c r="F152" s="33"/>
      <c r="G152" s="33"/>
      <c r="H152" s="33"/>
      <c r="I152" s="7"/>
    </row>
    <row r="153" spans="1:9" ht="15.75" x14ac:dyDescent="0.25">
      <c r="A153" s="6"/>
      <c r="B153" s="245"/>
      <c r="C153" s="247"/>
      <c r="D153" s="33"/>
      <c r="E153" s="33"/>
      <c r="F153" s="33"/>
      <c r="G153" s="33"/>
      <c r="H153" s="33"/>
      <c r="I153" s="7"/>
    </row>
    <row r="154" spans="1:9" ht="15.75" x14ac:dyDescent="0.25">
      <c r="A154" s="6"/>
      <c r="B154" s="245"/>
      <c r="C154" s="247"/>
      <c r="D154" s="33"/>
      <c r="E154" s="33"/>
      <c r="F154" s="33"/>
      <c r="G154" s="33"/>
      <c r="H154" s="33"/>
      <c r="I154" s="7"/>
    </row>
    <row r="155" spans="1:9" ht="15.75" x14ac:dyDescent="0.25">
      <c r="A155" s="6"/>
      <c r="B155" s="245"/>
      <c r="C155" s="247"/>
      <c r="D155" s="33"/>
      <c r="E155" s="33"/>
      <c r="F155" s="33"/>
      <c r="G155" s="33"/>
      <c r="H155" s="33"/>
      <c r="I155" s="9"/>
    </row>
    <row r="156" spans="1:9" ht="15.75" x14ac:dyDescent="0.25">
      <c r="A156" s="6"/>
      <c r="B156" s="245"/>
      <c r="C156" s="247"/>
      <c r="D156" s="33"/>
      <c r="E156" s="33"/>
      <c r="F156" s="33"/>
      <c r="G156" s="33"/>
      <c r="H156" s="33"/>
      <c r="I156" s="9"/>
    </row>
    <row r="157" spans="1:9" ht="15.75" x14ac:dyDescent="0.25">
      <c r="A157" s="6"/>
      <c r="B157" s="245"/>
      <c r="C157" s="247"/>
      <c r="D157" s="33"/>
      <c r="E157" s="33"/>
      <c r="F157" s="33"/>
      <c r="G157" s="33"/>
      <c r="H157" s="33"/>
      <c r="I157" s="9"/>
    </row>
    <row r="158" spans="1:9" ht="15.75" x14ac:dyDescent="0.25">
      <c r="A158" s="6"/>
      <c r="B158" s="245"/>
      <c r="C158" s="247"/>
      <c r="D158" s="33"/>
      <c r="E158" s="33"/>
      <c r="F158" s="33"/>
      <c r="G158" s="33"/>
      <c r="H158" s="33"/>
      <c r="I158" s="9"/>
    </row>
    <row r="159" spans="1:9" ht="15.75" x14ac:dyDescent="0.25">
      <c r="A159" s="6"/>
      <c r="B159" s="245"/>
      <c r="C159" s="247"/>
      <c r="D159" s="33"/>
      <c r="E159" s="33"/>
      <c r="F159" s="33"/>
      <c r="G159" s="33"/>
      <c r="H159" s="33"/>
      <c r="I159" s="9"/>
    </row>
    <row r="160" spans="1:9" ht="15.75" x14ac:dyDescent="0.25">
      <c r="A160" s="6"/>
      <c r="B160" s="245"/>
      <c r="C160" s="247"/>
      <c r="D160" s="33"/>
      <c r="E160" s="33"/>
      <c r="F160" s="33"/>
      <c r="G160" s="33"/>
      <c r="H160" s="33"/>
      <c r="I160" s="9"/>
    </row>
    <row r="161" spans="1:9" ht="15.75" x14ac:dyDescent="0.25">
      <c r="A161" s="6"/>
      <c r="B161" s="245"/>
      <c r="C161" s="247"/>
      <c r="D161" s="33"/>
      <c r="E161" s="33"/>
      <c r="F161" s="33"/>
      <c r="G161" s="33"/>
      <c r="H161" s="33"/>
      <c r="I161" s="9"/>
    </row>
    <row r="162" spans="1:9" ht="15.75" x14ac:dyDescent="0.25">
      <c r="A162" s="6"/>
      <c r="B162" s="245"/>
      <c r="C162" s="247"/>
      <c r="D162" s="33"/>
      <c r="E162" s="33"/>
      <c r="F162" s="33"/>
      <c r="G162" s="33"/>
      <c r="H162" s="33"/>
      <c r="I162" s="9"/>
    </row>
    <row r="163" spans="1:9" ht="15.75" x14ac:dyDescent="0.25">
      <c r="A163" s="6"/>
      <c r="B163" s="245"/>
      <c r="C163" s="247"/>
      <c r="D163" s="33"/>
      <c r="E163" s="33"/>
      <c r="F163" s="33"/>
      <c r="G163" s="33"/>
      <c r="H163" s="33"/>
      <c r="I163" s="9"/>
    </row>
    <row r="164" spans="1:9" ht="18.75" x14ac:dyDescent="0.3">
      <c r="A164" s="6"/>
      <c r="B164" s="245"/>
      <c r="C164" s="247"/>
      <c r="D164" s="5"/>
      <c r="E164" s="5"/>
      <c r="F164" s="5"/>
      <c r="G164" s="10"/>
      <c r="H164" s="5"/>
      <c r="I164" s="11"/>
    </row>
    <row r="165" spans="1:9" ht="18.75" x14ac:dyDescent="0.3">
      <c r="A165" s="12"/>
      <c r="B165" s="245"/>
      <c r="C165" s="247"/>
      <c r="D165" s="13"/>
      <c r="E165" s="13"/>
      <c r="F165" s="13"/>
      <c r="G165" s="14"/>
      <c r="H165" s="13"/>
      <c r="I165" s="15"/>
    </row>
    <row r="166" spans="1:9" ht="18.75" x14ac:dyDescent="0.3">
      <c r="A166" s="12"/>
      <c r="B166" s="245"/>
      <c r="C166" s="247"/>
      <c r="D166" s="13"/>
      <c r="E166" s="13"/>
      <c r="F166" s="13"/>
      <c r="G166" s="14"/>
      <c r="H166" s="13"/>
      <c r="I166" s="15"/>
    </row>
    <row r="167" spans="1:9" ht="19.5" thickBot="1" x14ac:dyDescent="0.35">
      <c r="A167" s="12"/>
      <c r="B167" s="248"/>
      <c r="C167" s="249"/>
      <c r="D167" s="16"/>
      <c r="E167" s="16"/>
      <c r="F167" s="16"/>
      <c r="G167" s="14"/>
      <c r="H167" s="16"/>
      <c r="I167" s="15"/>
    </row>
    <row r="168" spans="1:9" ht="16.5" thickBot="1" x14ac:dyDescent="0.3">
      <c r="A168" s="17">
        <f>SUM(A145:A167)</f>
        <v>25</v>
      </c>
      <c r="B168" s="241"/>
      <c r="C168" s="242"/>
      <c r="D168" s="18">
        <f>SUM(D145:D167)</f>
        <v>0</v>
      </c>
      <c r="E168" s="19">
        <f>SUM(E145:E167)</f>
        <v>0</v>
      </c>
      <c r="F168" s="20">
        <f>SUM(F145:F167)</f>
        <v>0</v>
      </c>
      <c r="G168" s="21">
        <f>SUM(G145:G167)</f>
        <v>0</v>
      </c>
      <c r="H168" s="22">
        <f>SUM(H145:H167)</f>
        <v>505</v>
      </c>
      <c r="I168" s="35"/>
    </row>
    <row r="169" spans="1:9" ht="16.5" thickBot="1" x14ac:dyDescent="0.3">
      <c r="A169" s="17"/>
      <c r="B169" s="243">
        <f>H168-A168</f>
        <v>480</v>
      </c>
      <c r="C169" s="244"/>
      <c r="D169" s="36" t="s">
        <v>11</v>
      </c>
      <c r="E169" s="245">
        <f>H168+G168+F168+E168+D168</f>
        <v>505</v>
      </c>
      <c r="F169" s="246"/>
      <c r="G169" s="246"/>
      <c r="H169" s="247"/>
      <c r="I169" s="35" t="s">
        <v>12</v>
      </c>
    </row>
    <row r="189" spans="1:9" ht="15.75" thickBot="1" x14ac:dyDescent="0.3"/>
    <row r="190" spans="1:9" ht="23.25" thickBot="1" x14ac:dyDescent="0.35">
      <c r="A190" s="251" t="s">
        <v>50</v>
      </c>
      <c r="B190" s="252"/>
      <c r="C190" s="252"/>
      <c r="D190" s="252"/>
      <c r="E190" s="252"/>
      <c r="F190" s="252"/>
      <c r="G190" s="252"/>
      <c r="H190" s="252"/>
      <c r="I190" s="253"/>
    </row>
    <row r="191" spans="1:9" ht="19.5" thickBot="1" x14ac:dyDescent="0.35">
      <c r="A191" s="254" t="s">
        <v>1</v>
      </c>
      <c r="B191" s="255"/>
      <c r="C191" s="255"/>
      <c r="D191" s="254" t="s">
        <v>2</v>
      </c>
      <c r="E191" s="255"/>
      <c r="F191" s="255"/>
      <c r="G191" s="255"/>
      <c r="H191" s="255"/>
      <c r="I191" s="256"/>
    </row>
    <row r="192" spans="1:9" ht="19.5" thickBot="1" x14ac:dyDescent="0.35">
      <c r="A192" s="1" t="s">
        <v>3</v>
      </c>
      <c r="B192" s="257" t="s">
        <v>4</v>
      </c>
      <c r="C192" s="258"/>
      <c r="D192" s="2" t="s">
        <v>5</v>
      </c>
      <c r="E192" s="2" t="s">
        <v>6</v>
      </c>
      <c r="F192" s="2" t="s">
        <v>7</v>
      </c>
      <c r="G192" s="2" t="s">
        <v>8</v>
      </c>
      <c r="H192" s="2" t="s">
        <v>9</v>
      </c>
      <c r="I192" s="30" t="s">
        <v>10</v>
      </c>
    </row>
    <row r="193" spans="1:9" ht="16.5" thickBot="1" x14ac:dyDescent="0.3">
      <c r="A193" s="31">
        <v>10</v>
      </c>
      <c r="B193" s="259" t="s">
        <v>48</v>
      </c>
      <c r="C193" s="259"/>
      <c r="D193" s="31"/>
      <c r="E193" s="31"/>
      <c r="F193" s="31"/>
      <c r="G193" s="31"/>
      <c r="H193" s="28">
        <v>450</v>
      </c>
      <c r="I193" s="26" t="s">
        <v>47</v>
      </c>
    </row>
    <row r="194" spans="1:9" ht="15.75" x14ac:dyDescent="0.25">
      <c r="A194" s="6">
        <v>50</v>
      </c>
      <c r="B194" s="260" t="s">
        <v>49</v>
      </c>
      <c r="C194" s="261"/>
      <c r="D194" s="31"/>
      <c r="E194" s="31"/>
      <c r="F194" s="31"/>
      <c r="G194" s="31"/>
      <c r="H194" s="31">
        <v>10</v>
      </c>
      <c r="I194" s="9" t="s">
        <v>19</v>
      </c>
    </row>
    <row r="195" spans="1:9" ht="15.75" x14ac:dyDescent="0.25">
      <c r="A195" s="6"/>
      <c r="B195" s="245"/>
      <c r="C195" s="247"/>
      <c r="D195" s="31">
        <v>130</v>
      </c>
      <c r="E195" s="31"/>
      <c r="F195" s="31"/>
      <c r="G195" s="31"/>
      <c r="H195" s="31">
        <v>20</v>
      </c>
      <c r="I195" s="7" t="s">
        <v>20</v>
      </c>
    </row>
    <row r="196" spans="1:9" ht="15.75" x14ac:dyDescent="0.25">
      <c r="A196" s="6"/>
      <c r="B196" s="245"/>
      <c r="C196" s="247"/>
      <c r="D196" s="31"/>
      <c r="E196" s="31"/>
      <c r="F196" s="31"/>
      <c r="G196" s="31"/>
      <c r="H196" s="31">
        <v>300</v>
      </c>
      <c r="I196" s="7" t="s">
        <v>16</v>
      </c>
    </row>
    <row r="197" spans="1:9" ht="15.75" x14ac:dyDescent="0.25">
      <c r="A197" s="6"/>
      <c r="B197" s="245"/>
      <c r="C197" s="247"/>
      <c r="D197" s="31">
        <v>200</v>
      </c>
      <c r="E197" s="31"/>
      <c r="F197" s="31"/>
      <c r="G197" s="31"/>
      <c r="H197" s="31">
        <v>250</v>
      </c>
      <c r="I197" s="7" t="s">
        <v>18</v>
      </c>
    </row>
    <row r="198" spans="1:9" ht="15.75" x14ac:dyDescent="0.25">
      <c r="A198" s="8"/>
      <c r="B198" s="250"/>
      <c r="C198" s="247"/>
      <c r="D198" s="31"/>
      <c r="E198" s="31"/>
      <c r="F198" s="31"/>
      <c r="G198" s="31"/>
      <c r="H198" s="31"/>
      <c r="I198" s="7"/>
    </row>
    <row r="199" spans="1:9" ht="15.75" x14ac:dyDescent="0.25">
      <c r="A199" s="6"/>
      <c r="B199" s="245"/>
      <c r="C199" s="247"/>
      <c r="D199" s="31"/>
      <c r="E199" s="31"/>
      <c r="F199" s="31"/>
      <c r="G199" s="31"/>
      <c r="H199" s="31"/>
      <c r="I199" s="9"/>
    </row>
    <row r="200" spans="1:9" ht="15.75" x14ac:dyDescent="0.25">
      <c r="A200" s="6"/>
      <c r="B200" s="245"/>
      <c r="C200" s="247"/>
      <c r="D200" s="31"/>
      <c r="E200" s="31"/>
      <c r="F200" s="31"/>
      <c r="G200" s="31"/>
      <c r="H200" s="31"/>
      <c r="I200" s="7"/>
    </row>
    <row r="201" spans="1:9" ht="15.75" x14ac:dyDescent="0.25">
      <c r="A201" s="6"/>
      <c r="B201" s="245"/>
      <c r="C201" s="247"/>
      <c r="D201" s="31"/>
      <c r="E201" s="31"/>
      <c r="F201" s="31"/>
      <c r="G201" s="31"/>
      <c r="H201" s="31"/>
      <c r="I201" s="7"/>
    </row>
    <row r="202" spans="1:9" ht="15.75" x14ac:dyDescent="0.25">
      <c r="A202" s="6"/>
      <c r="B202" s="245"/>
      <c r="C202" s="247"/>
      <c r="D202" s="31"/>
      <c r="E202" s="31"/>
      <c r="F202" s="31"/>
      <c r="G202" s="31"/>
      <c r="H202" s="31"/>
      <c r="I202" s="7"/>
    </row>
    <row r="203" spans="1:9" ht="15.75" x14ac:dyDescent="0.25">
      <c r="A203" s="6"/>
      <c r="B203" s="245"/>
      <c r="C203" s="247"/>
      <c r="D203" s="31"/>
      <c r="E203" s="31"/>
      <c r="F203" s="31"/>
      <c r="G203" s="31"/>
      <c r="H203" s="31"/>
      <c r="I203" s="9"/>
    </row>
    <row r="204" spans="1:9" ht="15.75" x14ac:dyDescent="0.25">
      <c r="A204" s="6"/>
      <c r="B204" s="245"/>
      <c r="C204" s="247"/>
      <c r="D204" s="31"/>
      <c r="E204" s="31"/>
      <c r="F204" s="31"/>
      <c r="G204" s="31"/>
      <c r="H204" s="31"/>
      <c r="I204" s="9"/>
    </row>
    <row r="205" spans="1:9" ht="15.75" x14ac:dyDescent="0.25">
      <c r="A205" s="6"/>
      <c r="B205" s="245"/>
      <c r="C205" s="247"/>
      <c r="D205" s="31"/>
      <c r="E205" s="31"/>
      <c r="F205" s="31"/>
      <c r="G205" s="31"/>
      <c r="H205" s="31"/>
      <c r="I205" s="9"/>
    </row>
    <row r="206" spans="1:9" ht="15.75" x14ac:dyDescent="0.25">
      <c r="A206" s="6"/>
      <c r="B206" s="245"/>
      <c r="C206" s="247"/>
      <c r="D206" s="31"/>
      <c r="E206" s="31"/>
      <c r="F206" s="31"/>
      <c r="G206" s="31"/>
      <c r="H206" s="31"/>
      <c r="I206" s="9"/>
    </row>
    <row r="207" spans="1:9" ht="15.75" x14ac:dyDescent="0.25">
      <c r="A207" s="6"/>
      <c r="B207" s="245"/>
      <c r="C207" s="247"/>
      <c r="D207" s="31"/>
      <c r="E207" s="31"/>
      <c r="F207" s="31"/>
      <c r="G207" s="31"/>
      <c r="H207" s="31"/>
      <c r="I207" s="9"/>
    </row>
    <row r="208" spans="1:9" ht="15.75" x14ac:dyDescent="0.25">
      <c r="A208" s="6"/>
      <c r="B208" s="245"/>
      <c r="C208" s="247"/>
      <c r="D208" s="31"/>
      <c r="E208" s="31"/>
      <c r="F208" s="31"/>
      <c r="G208" s="31"/>
      <c r="H208" s="31"/>
      <c r="I208" s="9"/>
    </row>
    <row r="209" spans="1:9" ht="15.75" x14ac:dyDescent="0.25">
      <c r="A209" s="6"/>
      <c r="B209" s="245"/>
      <c r="C209" s="247"/>
      <c r="D209" s="31"/>
      <c r="E209" s="31"/>
      <c r="F209" s="31"/>
      <c r="G209" s="31"/>
      <c r="H209" s="31"/>
      <c r="I209" s="9"/>
    </row>
    <row r="210" spans="1:9" ht="15.75" x14ac:dyDescent="0.25">
      <c r="A210" s="6"/>
      <c r="B210" s="245"/>
      <c r="C210" s="247"/>
      <c r="D210" s="31"/>
      <c r="E210" s="31"/>
      <c r="F210" s="31"/>
      <c r="G210" s="31"/>
      <c r="H210" s="31"/>
      <c r="I210" s="9"/>
    </row>
    <row r="211" spans="1:9" ht="15.75" x14ac:dyDescent="0.25">
      <c r="A211" s="6"/>
      <c r="B211" s="245"/>
      <c r="C211" s="247"/>
      <c r="D211" s="31"/>
      <c r="E211" s="31"/>
      <c r="F211" s="31"/>
      <c r="G211" s="31"/>
      <c r="H211" s="31"/>
      <c r="I211" s="9"/>
    </row>
    <row r="212" spans="1:9" ht="18.75" x14ac:dyDescent="0.3">
      <c r="A212" s="6"/>
      <c r="B212" s="245"/>
      <c r="C212" s="247"/>
      <c r="D212" s="5"/>
      <c r="E212" s="5"/>
      <c r="F212" s="5"/>
      <c r="G212" s="10"/>
      <c r="H212" s="5"/>
      <c r="I212" s="11"/>
    </row>
    <row r="213" spans="1:9" ht="18.75" x14ac:dyDescent="0.3">
      <c r="A213" s="12"/>
      <c r="B213" s="245"/>
      <c r="C213" s="247"/>
      <c r="D213" s="13"/>
      <c r="E213" s="13"/>
      <c r="F213" s="13"/>
      <c r="G213" s="14"/>
      <c r="H213" s="13"/>
      <c r="I213" s="15"/>
    </row>
    <row r="214" spans="1:9" ht="18.75" x14ac:dyDescent="0.3">
      <c r="A214" s="12"/>
      <c r="B214" s="245"/>
      <c r="C214" s="247"/>
      <c r="D214" s="13"/>
      <c r="E214" s="13"/>
      <c r="F214" s="13"/>
      <c r="G214" s="14"/>
      <c r="H214" s="13"/>
      <c r="I214" s="15"/>
    </row>
    <row r="215" spans="1:9" ht="19.5" thickBot="1" x14ac:dyDescent="0.35">
      <c r="A215" s="12"/>
      <c r="B215" s="248"/>
      <c r="C215" s="249"/>
      <c r="D215" s="16"/>
      <c r="E215" s="16"/>
      <c r="F215" s="16"/>
      <c r="G215" s="14"/>
      <c r="H215" s="16"/>
      <c r="I215" s="15"/>
    </row>
    <row r="216" spans="1:9" ht="16.5" thickBot="1" x14ac:dyDescent="0.3">
      <c r="A216" s="17">
        <f>SUM(A193:A215)</f>
        <v>60</v>
      </c>
      <c r="B216" s="241"/>
      <c r="C216" s="242"/>
      <c r="D216" s="18">
        <f>SUM(D193:D215)</f>
        <v>330</v>
      </c>
      <c r="E216" s="19">
        <f>SUM(E193:E215)</f>
        <v>0</v>
      </c>
      <c r="F216" s="20">
        <f>SUM(F193:F215)</f>
        <v>0</v>
      </c>
      <c r="G216" s="21">
        <f>SUM(G193:G215)</f>
        <v>0</v>
      </c>
      <c r="H216" s="22">
        <f>SUM(H193:H215)</f>
        <v>1030</v>
      </c>
      <c r="I216" s="29"/>
    </row>
    <row r="217" spans="1:9" ht="16.5" thickBot="1" x14ac:dyDescent="0.3">
      <c r="A217" s="17"/>
      <c r="B217" s="243">
        <f>H216-A216</f>
        <v>970</v>
      </c>
      <c r="C217" s="244"/>
      <c r="D217" s="27" t="s">
        <v>11</v>
      </c>
      <c r="E217" s="245">
        <f>H216+G216+F216+E216+D216</f>
        <v>1360</v>
      </c>
      <c r="F217" s="246"/>
      <c r="G217" s="246"/>
      <c r="H217" s="247"/>
      <c r="I217" s="29" t="s">
        <v>12</v>
      </c>
    </row>
    <row r="235" spans="1:9" ht="15.75" thickBot="1" x14ac:dyDescent="0.3"/>
    <row r="236" spans="1:9" ht="23.25" thickBot="1" x14ac:dyDescent="0.35">
      <c r="A236" s="251" t="s">
        <v>51</v>
      </c>
      <c r="B236" s="252"/>
      <c r="C236" s="252"/>
      <c r="D236" s="252"/>
      <c r="E236" s="252"/>
      <c r="F236" s="252"/>
      <c r="G236" s="252"/>
      <c r="H236" s="252"/>
      <c r="I236" s="253"/>
    </row>
    <row r="237" spans="1:9" ht="19.5" thickBot="1" x14ac:dyDescent="0.35">
      <c r="A237" s="254" t="s">
        <v>1</v>
      </c>
      <c r="B237" s="255"/>
      <c r="C237" s="255"/>
      <c r="D237" s="254" t="s">
        <v>2</v>
      </c>
      <c r="E237" s="255"/>
      <c r="F237" s="255"/>
      <c r="G237" s="255"/>
      <c r="H237" s="255"/>
      <c r="I237" s="256"/>
    </row>
    <row r="238" spans="1:9" ht="19.5" thickBot="1" x14ac:dyDescent="0.35">
      <c r="A238" s="1" t="s">
        <v>3</v>
      </c>
      <c r="B238" s="257" t="s">
        <v>4</v>
      </c>
      <c r="C238" s="258"/>
      <c r="D238" s="2" t="s">
        <v>5</v>
      </c>
      <c r="E238" s="2" t="s">
        <v>6</v>
      </c>
      <c r="F238" s="2" t="s">
        <v>7</v>
      </c>
      <c r="G238" s="2" t="s">
        <v>8</v>
      </c>
      <c r="H238" s="2" t="s">
        <v>9</v>
      </c>
      <c r="I238" s="42" t="s">
        <v>10</v>
      </c>
    </row>
    <row r="239" spans="1:9" ht="16.5" thickBot="1" x14ac:dyDescent="0.3">
      <c r="A239" s="43">
        <v>25</v>
      </c>
      <c r="B239" s="259" t="s">
        <v>53</v>
      </c>
      <c r="C239" s="259"/>
      <c r="D239" s="43"/>
      <c r="E239" s="43"/>
      <c r="F239" s="43"/>
      <c r="G239" s="43"/>
      <c r="H239" s="41">
        <v>200</v>
      </c>
      <c r="I239" s="26" t="s">
        <v>52</v>
      </c>
    </row>
    <row r="240" spans="1:9" ht="15.75" x14ac:dyDescent="0.25">
      <c r="A240" s="6">
        <v>15</v>
      </c>
      <c r="B240" s="260" t="s">
        <v>48</v>
      </c>
      <c r="C240" s="261"/>
      <c r="D240" s="43"/>
      <c r="E240" s="43"/>
      <c r="F240" s="43"/>
      <c r="G240" s="43"/>
      <c r="H240" s="43"/>
      <c r="I240" s="9"/>
    </row>
    <row r="241" spans="1:9" ht="15.75" x14ac:dyDescent="0.25">
      <c r="A241" s="6"/>
      <c r="B241" s="245"/>
      <c r="C241" s="247"/>
      <c r="D241" s="43"/>
      <c r="E241" s="43"/>
      <c r="F241" s="43"/>
      <c r="G241" s="43"/>
      <c r="H241" s="43"/>
      <c r="I241" s="7"/>
    </row>
    <row r="242" spans="1:9" ht="15.75" x14ac:dyDescent="0.25">
      <c r="A242" s="6"/>
      <c r="B242" s="245"/>
      <c r="C242" s="247"/>
      <c r="D242" s="43"/>
      <c r="E242" s="43"/>
      <c r="F242" s="43"/>
      <c r="G242" s="43"/>
      <c r="H242" s="43"/>
      <c r="I242" s="7"/>
    </row>
    <row r="243" spans="1:9" ht="15.75" x14ac:dyDescent="0.25">
      <c r="A243" s="6"/>
      <c r="B243" s="245"/>
      <c r="C243" s="247"/>
      <c r="D243" s="43"/>
      <c r="E243" s="43"/>
      <c r="F243" s="43"/>
      <c r="G243" s="43"/>
      <c r="H243" s="43"/>
      <c r="I243" s="7"/>
    </row>
    <row r="244" spans="1:9" ht="15.75" x14ac:dyDescent="0.25">
      <c r="A244" s="8"/>
      <c r="B244" s="250"/>
      <c r="C244" s="247"/>
      <c r="D244" s="43"/>
      <c r="E244" s="43"/>
      <c r="F244" s="43"/>
      <c r="G244" s="43"/>
      <c r="H244" s="43"/>
      <c r="I244" s="7"/>
    </row>
    <row r="245" spans="1:9" ht="15.75" x14ac:dyDescent="0.25">
      <c r="A245" s="6"/>
      <c r="B245" s="245"/>
      <c r="C245" s="247"/>
      <c r="D245" s="43"/>
      <c r="E245" s="43"/>
      <c r="F245" s="43"/>
      <c r="G245" s="43"/>
      <c r="H245" s="43"/>
      <c r="I245" s="9"/>
    </row>
    <row r="246" spans="1:9" ht="15.75" x14ac:dyDescent="0.25">
      <c r="A246" s="6"/>
      <c r="B246" s="245"/>
      <c r="C246" s="247"/>
      <c r="D246" s="43"/>
      <c r="E246" s="43"/>
      <c r="F246" s="43"/>
      <c r="G246" s="43"/>
      <c r="H246" s="43"/>
      <c r="I246" s="7"/>
    </row>
    <row r="247" spans="1:9" ht="15.75" x14ac:dyDescent="0.25">
      <c r="A247" s="6"/>
      <c r="B247" s="245"/>
      <c r="C247" s="247"/>
      <c r="D247" s="43"/>
      <c r="E247" s="43"/>
      <c r="F247" s="43"/>
      <c r="G247" s="43"/>
      <c r="H247" s="43"/>
      <c r="I247" s="7"/>
    </row>
    <row r="248" spans="1:9" ht="15.75" x14ac:dyDescent="0.25">
      <c r="A248" s="6"/>
      <c r="B248" s="245"/>
      <c r="C248" s="247"/>
      <c r="D248" s="43"/>
      <c r="E248" s="43"/>
      <c r="F248" s="43"/>
      <c r="G248" s="43"/>
      <c r="H248" s="43"/>
      <c r="I248" s="7"/>
    </row>
    <row r="249" spans="1:9" ht="15.75" x14ac:dyDescent="0.25">
      <c r="A249" s="6"/>
      <c r="B249" s="245"/>
      <c r="C249" s="247"/>
      <c r="D249" s="43"/>
      <c r="E249" s="43"/>
      <c r="F249" s="43"/>
      <c r="G249" s="43"/>
      <c r="H249" s="43"/>
      <c r="I249" s="9"/>
    </row>
    <row r="250" spans="1:9" ht="15.75" x14ac:dyDescent="0.25">
      <c r="A250" s="6"/>
      <c r="B250" s="245"/>
      <c r="C250" s="247"/>
      <c r="D250" s="43"/>
      <c r="E250" s="43"/>
      <c r="F250" s="43"/>
      <c r="G250" s="43"/>
      <c r="H250" s="43"/>
      <c r="I250" s="9"/>
    </row>
    <row r="251" spans="1:9" ht="15.75" x14ac:dyDescent="0.25">
      <c r="A251" s="6"/>
      <c r="B251" s="245"/>
      <c r="C251" s="247"/>
      <c r="D251" s="43"/>
      <c r="E251" s="43"/>
      <c r="F251" s="43"/>
      <c r="G251" s="43"/>
      <c r="H251" s="43"/>
      <c r="I251" s="9"/>
    </row>
    <row r="252" spans="1:9" ht="15.75" x14ac:dyDescent="0.25">
      <c r="A252" s="6"/>
      <c r="B252" s="245"/>
      <c r="C252" s="247"/>
      <c r="D252" s="43"/>
      <c r="E252" s="43"/>
      <c r="F252" s="43"/>
      <c r="G252" s="43"/>
      <c r="H252" s="43"/>
      <c r="I252" s="9"/>
    </row>
    <row r="253" spans="1:9" ht="15.75" x14ac:dyDescent="0.25">
      <c r="A253" s="6"/>
      <c r="B253" s="245"/>
      <c r="C253" s="247"/>
      <c r="D253" s="43"/>
      <c r="E253" s="43"/>
      <c r="F253" s="43"/>
      <c r="G253" s="43"/>
      <c r="H253" s="43"/>
      <c r="I253" s="9"/>
    </row>
    <row r="254" spans="1:9" ht="15.75" x14ac:dyDescent="0.25">
      <c r="A254" s="6"/>
      <c r="B254" s="245"/>
      <c r="C254" s="247"/>
      <c r="D254" s="43"/>
      <c r="E254" s="43"/>
      <c r="F254" s="43"/>
      <c r="G254" s="43"/>
      <c r="H254" s="43"/>
      <c r="I254" s="9"/>
    </row>
    <row r="255" spans="1:9" ht="15.75" x14ac:dyDescent="0.25">
      <c r="A255" s="6"/>
      <c r="B255" s="245"/>
      <c r="C255" s="247"/>
      <c r="D255" s="43"/>
      <c r="E255" s="43"/>
      <c r="F255" s="43"/>
      <c r="G255" s="43"/>
      <c r="H255" s="43"/>
      <c r="I255" s="9"/>
    </row>
    <row r="256" spans="1:9" ht="15.75" x14ac:dyDescent="0.25">
      <c r="A256" s="6"/>
      <c r="B256" s="245"/>
      <c r="C256" s="247"/>
      <c r="D256" s="43"/>
      <c r="E256" s="43"/>
      <c r="F256" s="43"/>
      <c r="G256" s="43"/>
      <c r="H256" s="43"/>
      <c r="I256" s="9"/>
    </row>
    <row r="257" spans="1:9" ht="15.75" x14ac:dyDescent="0.25">
      <c r="A257" s="6"/>
      <c r="B257" s="245"/>
      <c r="C257" s="247"/>
      <c r="D257" s="43"/>
      <c r="E257" s="43"/>
      <c r="F257" s="43"/>
      <c r="G257" s="43"/>
      <c r="H257" s="43"/>
      <c r="I257" s="9"/>
    </row>
    <row r="258" spans="1:9" ht="18.75" x14ac:dyDescent="0.3">
      <c r="A258" s="6"/>
      <c r="B258" s="245"/>
      <c r="C258" s="247"/>
      <c r="D258" s="5"/>
      <c r="E258" s="5"/>
      <c r="F258" s="5"/>
      <c r="G258" s="10"/>
      <c r="H258" s="5"/>
      <c r="I258" s="11"/>
    </row>
    <row r="259" spans="1:9" ht="18.75" x14ac:dyDescent="0.3">
      <c r="A259" s="12"/>
      <c r="B259" s="245"/>
      <c r="C259" s="247"/>
      <c r="D259" s="13"/>
      <c r="E259" s="13"/>
      <c r="F259" s="13"/>
      <c r="G259" s="14"/>
      <c r="H259" s="13"/>
      <c r="I259" s="15"/>
    </row>
    <row r="260" spans="1:9" ht="18.75" x14ac:dyDescent="0.3">
      <c r="A260" s="12"/>
      <c r="B260" s="245"/>
      <c r="C260" s="247"/>
      <c r="D260" s="13"/>
      <c r="E260" s="13"/>
      <c r="F260" s="13"/>
      <c r="G260" s="14"/>
      <c r="H260" s="13"/>
      <c r="I260" s="15"/>
    </row>
    <row r="261" spans="1:9" ht="19.5" thickBot="1" x14ac:dyDescent="0.35">
      <c r="A261" s="12"/>
      <c r="B261" s="248"/>
      <c r="C261" s="249"/>
      <c r="D261" s="16"/>
      <c r="E261" s="16"/>
      <c r="F261" s="16"/>
      <c r="G261" s="14"/>
      <c r="H261" s="16"/>
      <c r="I261" s="15"/>
    </row>
    <row r="262" spans="1:9" ht="16.5" thickBot="1" x14ac:dyDescent="0.3">
      <c r="A262" s="17">
        <f>SUM(A239:A261)</f>
        <v>40</v>
      </c>
      <c r="B262" s="241"/>
      <c r="C262" s="242"/>
      <c r="D262" s="18">
        <f>SUM(D239:D261)</f>
        <v>0</v>
      </c>
      <c r="E262" s="19">
        <f>SUM(E239:E261)</f>
        <v>0</v>
      </c>
      <c r="F262" s="20">
        <f>SUM(F239:F261)</f>
        <v>0</v>
      </c>
      <c r="G262" s="21">
        <f>SUM(G239:G261)</f>
        <v>0</v>
      </c>
      <c r="H262" s="22">
        <f>SUM(H239:H261)</f>
        <v>200</v>
      </c>
      <c r="I262" s="39"/>
    </row>
    <row r="263" spans="1:9" ht="16.5" thickBot="1" x14ac:dyDescent="0.3">
      <c r="A263" s="17"/>
      <c r="B263" s="243">
        <f>H262-A262</f>
        <v>160</v>
      </c>
      <c r="C263" s="244"/>
      <c r="D263" s="40" t="s">
        <v>11</v>
      </c>
      <c r="E263" s="245">
        <f>H262+G262+F262+E262+D262</f>
        <v>200</v>
      </c>
      <c r="F263" s="246"/>
      <c r="G263" s="246"/>
      <c r="H263" s="247"/>
      <c r="I263" s="39" t="s">
        <v>12</v>
      </c>
    </row>
    <row r="282" spans="1:9" ht="15.75" thickBot="1" x14ac:dyDescent="0.3"/>
    <row r="283" spans="1:9" ht="23.25" thickBot="1" x14ac:dyDescent="0.35">
      <c r="A283" s="251" t="s">
        <v>54</v>
      </c>
      <c r="B283" s="252"/>
      <c r="C283" s="252"/>
      <c r="D283" s="252"/>
      <c r="E283" s="252"/>
      <c r="F283" s="252"/>
      <c r="G283" s="252"/>
      <c r="H283" s="252"/>
      <c r="I283" s="253"/>
    </row>
    <row r="284" spans="1:9" ht="19.5" thickBot="1" x14ac:dyDescent="0.35">
      <c r="A284" s="254" t="s">
        <v>1</v>
      </c>
      <c r="B284" s="255"/>
      <c r="C284" s="255"/>
      <c r="D284" s="254" t="s">
        <v>2</v>
      </c>
      <c r="E284" s="255"/>
      <c r="F284" s="255"/>
      <c r="G284" s="255"/>
      <c r="H284" s="255"/>
      <c r="I284" s="256"/>
    </row>
    <row r="285" spans="1:9" ht="19.5" thickBot="1" x14ac:dyDescent="0.35">
      <c r="A285" s="1" t="s">
        <v>3</v>
      </c>
      <c r="B285" s="257" t="s">
        <v>4</v>
      </c>
      <c r="C285" s="258"/>
      <c r="D285" s="2" t="s">
        <v>5</v>
      </c>
      <c r="E285" s="2" t="s">
        <v>6</v>
      </c>
      <c r="F285" s="2" t="s">
        <v>7</v>
      </c>
      <c r="G285" s="2" t="s">
        <v>8</v>
      </c>
      <c r="H285" s="2" t="s">
        <v>9</v>
      </c>
      <c r="I285" s="47" t="s">
        <v>10</v>
      </c>
    </row>
    <row r="286" spans="1:9" ht="16.5" thickBot="1" x14ac:dyDescent="0.3">
      <c r="A286" s="48">
        <v>25</v>
      </c>
      <c r="B286" s="259" t="s">
        <v>58</v>
      </c>
      <c r="C286" s="259"/>
      <c r="D286" s="48"/>
      <c r="E286" s="48"/>
      <c r="F286" s="48"/>
      <c r="G286" s="48"/>
      <c r="H286" s="46">
        <v>60</v>
      </c>
      <c r="I286" s="49" t="s">
        <v>57</v>
      </c>
    </row>
    <row r="287" spans="1:9" ht="15.75" x14ac:dyDescent="0.25">
      <c r="A287" s="6">
        <v>35</v>
      </c>
      <c r="B287" s="260" t="s">
        <v>59</v>
      </c>
      <c r="C287" s="261"/>
      <c r="D287" s="48"/>
      <c r="E287" s="48"/>
      <c r="F287" s="48">
        <v>50</v>
      </c>
      <c r="G287" s="48"/>
      <c r="H287" s="48">
        <v>500</v>
      </c>
      <c r="I287" s="50" t="s">
        <v>55</v>
      </c>
    </row>
    <row r="288" spans="1:9" ht="15.75" x14ac:dyDescent="0.25">
      <c r="A288" s="6"/>
      <c r="B288" s="245"/>
      <c r="C288" s="247"/>
      <c r="D288" s="48">
        <v>450</v>
      </c>
      <c r="E288" s="48"/>
      <c r="F288" s="48"/>
      <c r="G288" s="48"/>
      <c r="H288" s="48">
        <v>50</v>
      </c>
      <c r="I288" s="7" t="s">
        <v>56</v>
      </c>
    </row>
    <row r="289" spans="1:9" ht="15.75" x14ac:dyDescent="0.25">
      <c r="A289" s="6"/>
      <c r="B289" s="245"/>
      <c r="C289" s="247"/>
      <c r="D289" s="48"/>
      <c r="E289" s="48"/>
      <c r="F289" s="48"/>
      <c r="G289" s="48"/>
      <c r="H289" s="48">
        <v>10</v>
      </c>
      <c r="I289" s="7" t="s">
        <v>60</v>
      </c>
    </row>
    <row r="290" spans="1:9" ht="15.75" x14ac:dyDescent="0.25">
      <c r="A290" s="6"/>
      <c r="B290" s="245"/>
      <c r="C290" s="247"/>
      <c r="D290" s="48"/>
      <c r="E290" s="48"/>
      <c r="F290" s="48"/>
      <c r="G290" s="48"/>
      <c r="H290" s="48"/>
      <c r="I290" s="7"/>
    </row>
    <row r="291" spans="1:9" ht="15.75" x14ac:dyDescent="0.25">
      <c r="A291" s="8"/>
      <c r="B291" s="250"/>
      <c r="C291" s="247"/>
      <c r="D291" s="48"/>
      <c r="E291" s="48"/>
      <c r="F291" s="48"/>
      <c r="G291" s="48"/>
      <c r="H291" s="48"/>
      <c r="I291" s="7"/>
    </row>
    <row r="292" spans="1:9" ht="15.75" x14ac:dyDescent="0.25">
      <c r="A292" s="6"/>
      <c r="B292" s="245"/>
      <c r="C292" s="247"/>
      <c r="D292" s="48"/>
      <c r="E292" s="48"/>
      <c r="F292" s="48"/>
      <c r="G292" s="48"/>
      <c r="H292" s="48"/>
      <c r="I292" s="9"/>
    </row>
    <row r="293" spans="1:9" ht="15.75" x14ac:dyDescent="0.25">
      <c r="A293" s="6"/>
      <c r="B293" s="245"/>
      <c r="C293" s="247"/>
      <c r="D293" s="48"/>
      <c r="E293" s="48"/>
      <c r="F293" s="48"/>
      <c r="G293" s="48"/>
      <c r="H293" s="48"/>
      <c r="I293" s="7"/>
    </row>
    <row r="294" spans="1:9" ht="15.75" x14ac:dyDescent="0.25">
      <c r="A294" s="6"/>
      <c r="B294" s="245"/>
      <c r="C294" s="247"/>
      <c r="D294" s="48"/>
      <c r="E294" s="48"/>
      <c r="F294" s="48"/>
      <c r="G294" s="48"/>
      <c r="H294" s="48"/>
      <c r="I294" s="7"/>
    </row>
    <row r="295" spans="1:9" ht="15.75" x14ac:dyDescent="0.25">
      <c r="A295" s="6"/>
      <c r="B295" s="245"/>
      <c r="C295" s="247"/>
      <c r="D295" s="48"/>
      <c r="E295" s="48"/>
      <c r="F295" s="48"/>
      <c r="G295" s="48"/>
      <c r="H295" s="48"/>
      <c r="I295" s="7"/>
    </row>
    <row r="296" spans="1:9" ht="15.75" x14ac:dyDescent="0.25">
      <c r="A296" s="6"/>
      <c r="B296" s="245"/>
      <c r="C296" s="247"/>
      <c r="D296" s="48"/>
      <c r="E296" s="48"/>
      <c r="F296" s="48"/>
      <c r="G296" s="48"/>
      <c r="H296" s="48"/>
      <c r="I296" s="9"/>
    </row>
    <row r="297" spans="1:9" ht="15.75" x14ac:dyDescent="0.25">
      <c r="A297" s="6"/>
      <c r="B297" s="245"/>
      <c r="C297" s="247"/>
      <c r="D297" s="48"/>
      <c r="E297" s="48"/>
      <c r="F297" s="48"/>
      <c r="G297" s="48"/>
      <c r="H297" s="48"/>
      <c r="I297" s="9"/>
    </row>
    <row r="298" spans="1:9" ht="15.75" x14ac:dyDescent="0.25">
      <c r="A298" s="6"/>
      <c r="B298" s="245"/>
      <c r="C298" s="247"/>
      <c r="D298" s="48"/>
      <c r="E298" s="48"/>
      <c r="F298" s="48"/>
      <c r="G298" s="48"/>
      <c r="H298" s="48"/>
      <c r="I298" s="9"/>
    </row>
    <row r="299" spans="1:9" ht="15.75" x14ac:dyDescent="0.25">
      <c r="A299" s="6"/>
      <c r="B299" s="245"/>
      <c r="C299" s="247"/>
      <c r="D299" s="48"/>
      <c r="E299" s="48"/>
      <c r="F299" s="48"/>
      <c r="G299" s="48"/>
      <c r="H299" s="48"/>
      <c r="I299" s="9"/>
    </row>
    <row r="300" spans="1:9" ht="15.75" x14ac:dyDescent="0.25">
      <c r="A300" s="6"/>
      <c r="B300" s="245"/>
      <c r="C300" s="247"/>
      <c r="D300" s="48"/>
      <c r="E300" s="48"/>
      <c r="F300" s="48"/>
      <c r="G300" s="48"/>
      <c r="H300" s="48"/>
      <c r="I300" s="9"/>
    </row>
    <row r="301" spans="1:9" ht="15.75" x14ac:dyDescent="0.25">
      <c r="A301" s="6"/>
      <c r="B301" s="245"/>
      <c r="C301" s="247"/>
      <c r="D301" s="48"/>
      <c r="E301" s="48"/>
      <c r="F301" s="48"/>
      <c r="G301" s="48"/>
      <c r="H301" s="48"/>
      <c r="I301" s="9"/>
    </row>
    <row r="302" spans="1:9" ht="15.75" x14ac:dyDescent="0.25">
      <c r="A302" s="6"/>
      <c r="B302" s="245"/>
      <c r="C302" s="247"/>
      <c r="D302" s="48"/>
      <c r="E302" s="48"/>
      <c r="F302" s="48"/>
      <c r="G302" s="48"/>
      <c r="H302" s="48"/>
      <c r="I302" s="9"/>
    </row>
    <row r="303" spans="1:9" ht="15.75" x14ac:dyDescent="0.25">
      <c r="A303" s="6"/>
      <c r="B303" s="245"/>
      <c r="C303" s="247"/>
      <c r="D303" s="48"/>
      <c r="E303" s="48"/>
      <c r="F303" s="48"/>
      <c r="G303" s="48"/>
      <c r="H303" s="48"/>
      <c r="I303" s="9"/>
    </row>
    <row r="304" spans="1:9" ht="15.75" x14ac:dyDescent="0.25">
      <c r="A304" s="6"/>
      <c r="B304" s="245"/>
      <c r="C304" s="247"/>
      <c r="D304" s="48"/>
      <c r="E304" s="48"/>
      <c r="F304" s="48"/>
      <c r="G304" s="48"/>
      <c r="H304" s="48"/>
      <c r="I304" s="9"/>
    </row>
    <row r="305" spans="1:9" ht="18.75" x14ac:dyDescent="0.3">
      <c r="A305" s="6"/>
      <c r="B305" s="245"/>
      <c r="C305" s="247"/>
      <c r="D305" s="5"/>
      <c r="E305" s="5"/>
      <c r="F305" s="5"/>
      <c r="G305" s="10"/>
      <c r="H305" s="5"/>
      <c r="I305" s="11"/>
    </row>
    <row r="306" spans="1:9" ht="18.75" x14ac:dyDescent="0.3">
      <c r="A306" s="12"/>
      <c r="B306" s="245"/>
      <c r="C306" s="247"/>
      <c r="D306" s="13"/>
      <c r="E306" s="13"/>
      <c r="F306" s="13"/>
      <c r="G306" s="14"/>
      <c r="H306" s="13"/>
      <c r="I306" s="15"/>
    </row>
    <row r="307" spans="1:9" ht="18.75" x14ac:dyDescent="0.3">
      <c r="A307" s="12"/>
      <c r="B307" s="245"/>
      <c r="C307" s="247"/>
      <c r="D307" s="13"/>
      <c r="E307" s="13"/>
      <c r="F307" s="13"/>
      <c r="G307" s="14"/>
      <c r="H307" s="13"/>
      <c r="I307" s="15"/>
    </row>
    <row r="308" spans="1:9" ht="19.5" thickBot="1" x14ac:dyDescent="0.35">
      <c r="A308" s="12"/>
      <c r="B308" s="248"/>
      <c r="C308" s="249"/>
      <c r="D308" s="16"/>
      <c r="E308" s="16"/>
      <c r="F308" s="16"/>
      <c r="G308" s="14"/>
      <c r="H308" s="16"/>
      <c r="I308" s="15"/>
    </row>
    <row r="309" spans="1:9" ht="16.5" thickBot="1" x14ac:dyDescent="0.3">
      <c r="A309" s="17">
        <f>SUM(A286:A308)</f>
        <v>60</v>
      </c>
      <c r="B309" s="241"/>
      <c r="C309" s="242"/>
      <c r="D309" s="18">
        <f>SUM(D286:D308)</f>
        <v>450</v>
      </c>
      <c r="E309" s="19">
        <f>SUM(E286:E308)</f>
        <v>0</v>
      </c>
      <c r="F309" s="20">
        <f>SUM(F286:F308)</f>
        <v>50</v>
      </c>
      <c r="G309" s="21">
        <f>SUM(G286:G308)</f>
        <v>0</v>
      </c>
      <c r="H309" s="22">
        <f>SUM(H286:H308)</f>
        <v>620</v>
      </c>
      <c r="I309" s="44"/>
    </row>
    <row r="310" spans="1:9" ht="16.5" thickBot="1" x14ac:dyDescent="0.3">
      <c r="A310" s="17"/>
      <c r="B310" s="243">
        <f>H309-A309</f>
        <v>560</v>
      </c>
      <c r="C310" s="244"/>
      <c r="D310" s="45" t="s">
        <v>11</v>
      </c>
      <c r="E310" s="245">
        <f>H309+G309+F309+E309+D309</f>
        <v>1120</v>
      </c>
      <c r="F310" s="246"/>
      <c r="G310" s="246"/>
      <c r="H310" s="247"/>
      <c r="I310" s="44" t="s">
        <v>12</v>
      </c>
    </row>
  </sheetData>
  <mergeCells count="210">
    <mergeCell ref="B166:C166"/>
    <mergeCell ref="B167:C167"/>
    <mergeCell ref="B168:C168"/>
    <mergeCell ref="B169:C169"/>
    <mergeCell ref="E169:H169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A142:I142"/>
    <mergeCell ref="A143:C143"/>
    <mergeCell ref="D143:I143"/>
    <mergeCell ref="B144:C144"/>
    <mergeCell ref="B145:C145"/>
    <mergeCell ref="B119:C119"/>
    <mergeCell ref="B120:C120"/>
    <mergeCell ref="B121:C121"/>
    <mergeCell ref="B122:C122"/>
    <mergeCell ref="E122:H122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A95:I95"/>
    <mergeCell ref="A96:C96"/>
    <mergeCell ref="D96:I96"/>
    <mergeCell ref="B97:C97"/>
    <mergeCell ref="B98:C98"/>
    <mergeCell ref="B72:C72"/>
    <mergeCell ref="B73:C73"/>
    <mergeCell ref="B74:C74"/>
    <mergeCell ref="B75:C75"/>
    <mergeCell ref="E75:H75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A48:I48"/>
    <mergeCell ref="A49:C49"/>
    <mergeCell ref="D49:I49"/>
    <mergeCell ref="B50:C50"/>
    <mergeCell ref="B51:C51"/>
    <mergeCell ref="B5:C5"/>
    <mergeCell ref="A1:I1"/>
    <mergeCell ref="A2:C2"/>
    <mergeCell ref="D2:I2"/>
    <mergeCell ref="B3:C3"/>
    <mergeCell ref="B4:C4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E28:H28"/>
    <mergeCell ref="B28:C28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A190:I190"/>
    <mergeCell ref="A191:C191"/>
    <mergeCell ref="D191:I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16:C216"/>
    <mergeCell ref="B217:C217"/>
    <mergeCell ref="E217:H217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A236:I236"/>
    <mergeCell ref="A237:C237"/>
    <mergeCell ref="D237:I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62:C262"/>
    <mergeCell ref="B263:C263"/>
    <mergeCell ref="E263:H263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A283:I283"/>
    <mergeCell ref="A284:C284"/>
    <mergeCell ref="D284:I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9:C309"/>
    <mergeCell ref="B310:C310"/>
    <mergeCell ref="E310:H310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</mergeCells>
  <pageMargins left="0.25" right="0.25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48"/>
  <sheetViews>
    <sheetView topLeftCell="A1113" zoomScaleNormal="100" workbookViewId="0">
      <selection activeCell="I1180" sqref="I1180"/>
    </sheetView>
  </sheetViews>
  <sheetFormatPr defaultRowHeight="15" x14ac:dyDescent="0.25"/>
  <cols>
    <col min="1" max="1" width="9.140625" customWidth="1"/>
    <col min="3" max="3" width="5" customWidth="1"/>
    <col min="4" max="4" width="8.7109375" customWidth="1"/>
    <col min="5" max="5" width="8.42578125" customWidth="1"/>
    <col min="6" max="6" width="7.85546875" customWidth="1"/>
    <col min="7" max="7" width="7.5703125" customWidth="1"/>
    <col min="8" max="8" width="9.140625" customWidth="1"/>
    <col min="9" max="9" width="33.7109375" customWidth="1"/>
  </cols>
  <sheetData>
    <row r="1" spans="1:9" ht="23.25" thickBot="1" x14ac:dyDescent="0.35">
      <c r="A1" s="251" t="s">
        <v>61</v>
      </c>
      <c r="B1" s="252"/>
      <c r="C1" s="252"/>
      <c r="D1" s="252"/>
      <c r="E1" s="252"/>
      <c r="F1" s="252"/>
      <c r="G1" s="252"/>
      <c r="H1" s="252"/>
      <c r="I1" s="253"/>
    </row>
    <row r="2" spans="1:9" ht="19.5" thickBot="1" x14ac:dyDescent="0.35">
      <c r="A2" s="254" t="s">
        <v>1</v>
      </c>
      <c r="B2" s="255"/>
      <c r="C2" s="255"/>
      <c r="D2" s="254" t="s">
        <v>2</v>
      </c>
      <c r="E2" s="255"/>
      <c r="F2" s="255"/>
      <c r="G2" s="255"/>
      <c r="H2" s="255"/>
      <c r="I2" s="256"/>
    </row>
    <row r="3" spans="1:9" ht="19.5" thickBot="1" x14ac:dyDescent="0.35">
      <c r="A3" s="1" t="s">
        <v>3</v>
      </c>
      <c r="B3" s="257" t="s">
        <v>4</v>
      </c>
      <c r="C3" s="258"/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54" t="s">
        <v>10</v>
      </c>
    </row>
    <row r="4" spans="1:9" ht="16.5" thickBot="1" x14ac:dyDescent="0.3">
      <c r="A4" s="55"/>
      <c r="B4" s="259"/>
      <c r="C4" s="259"/>
      <c r="D4" s="55"/>
      <c r="E4" s="55"/>
      <c r="F4" s="55"/>
      <c r="G4" s="55"/>
      <c r="H4" s="51">
        <v>350</v>
      </c>
      <c r="I4" s="26" t="s">
        <v>62</v>
      </c>
    </row>
    <row r="5" spans="1:9" ht="15.75" x14ac:dyDescent="0.25">
      <c r="A5" s="6">
        <v>10</v>
      </c>
      <c r="B5" s="260" t="s">
        <v>65</v>
      </c>
      <c r="C5" s="261"/>
      <c r="D5" s="55"/>
      <c r="E5" s="55"/>
      <c r="F5" s="55">
        <v>40</v>
      </c>
      <c r="G5" s="55"/>
      <c r="H5" s="55"/>
      <c r="I5" s="37" t="s">
        <v>63</v>
      </c>
    </row>
    <row r="6" spans="1:9" ht="15.75" x14ac:dyDescent="0.25">
      <c r="A6" s="6">
        <v>25</v>
      </c>
      <c r="B6" s="245" t="s">
        <v>31</v>
      </c>
      <c r="C6" s="247"/>
      <c r="D6" s="55">
        <v>380</v>
      </c>
      <c r="E6" s="55"/>
      <c r="F6" s="55"/>
      <c r="G6" s="55"/>
      <c r="H6" s="55"/>
      <c r="I6" s="7" t="s">
        <v>64</v>
      </c>
    </row>
    <row r="7" spans="1:9" ht="15.75" x14ac:dyDescent="0.25">
      <c r="A7" s="6">
        <v>30</v>
      </c>
      <c r="B7" s="245" t="s">
        <v>66</v>
      </c>
      <c r="C7" s="247"/>
      <c r="D7" s="55"/>
      <c r="E7" s="55"/>
      <c r="F7" s="55"/>
      <c r="G7" s="55"/>
      <c r="H7" s="55"/>
      <c r="I7" s="7"/>
    </row>
    <row r="8" spans="1:9" ht="15.75" x14ac:dyDescent="0.25">
      <c r="A8" s="6"/>
      <c r="B8" s="245"/>
      <c r="C8" s="247"/>
      <c r="D8" s="55"/>
      <c r="E8" s="55"/>
      <c r="F8" s="55"/>
      <c r="G8" s="55"/>
      <c r="H8" s="55"/>
      <c r="I8" s="7"/>
    </row>
    <row r="9" spans="1:9" ht="15.75" x14ac:dyDescent="0.25">
      <c r="A9" s="8"/>
      <c r="B9" s="250"/>
      <c r="C9" s="247"/>
      <c r="D9" s="55"/>
      <c r="E9" s="55"/>
      <c r="F9" s="55"/>
      <c r="G9" s="55"/>
      <c r="H9" s="55"/>
      <c r="I9" s="7"/>
    </row>
    <row r="10" spans="1:9" ht="15.75" x14ac:dyDescent="0.25">
      <c r="A10" s="6"/>
      <c r="B10" s="245"/>
      <c r="C10" s="247"/>
      <c r="D10" s="55"/>
      <c r="E10" s="55"/>
      <c r="F10" s="55"/>
      <c r="G10" s="55"/>
      <c r="H10" s="55"/>
      <c r="I10" s="9"/>
    </row>
    <row r="11" spans="1:9" ht="15.75" x14ac:dyDescent="0.25">
      <c r="A11" s="6"/>
      <c r="B11" s="245"/>
      <c r="C11" s="247"/>
      <c r="D11" s="55"/>
      <c r="E11" s="55"/>
      <c r="F11" s="55"/>
      <c r="G11" s="55"/>
      <c r="H11" s="55"/>
      <c r="I11" s="7"/>
    </row>
    <row r="12" spans="1:9" ht="15.75" x14ac:dyDescent="0.25">
      <c r="A12" s="6"/>
      <c r="B12" s="245"/>
      <c r="C12" s="247"/>
      <c r="D12" s="55"/>
      <c r="E12" s="55"/>
      <c r="F12" s="55"/>
      <c r="G12" s="55"/>
      <c r="H12" s="55"/>
      <c r="I12" s="7"/>
    </row>
    <row r="13" spans="1:9" ht="15.75" x14ac:dyDescent="0.25">
      <c r="A13" s="6"/>
      <c r="B13" s="245"/>
      <c r="C13" s="247"/>
      <c r="D13" s="55"/>
      <c r="E13" s="55"/>
      <c r="F13" s="55"/>
      <c r="G13" s="55"/>
      <c r="H13" s="55"/>
      <c r="I13" s="7"/>
    </row>
    <row r="14" spans="1:9" ht="15.75" x14ac:dyDescent="0.25">
      <c r="A14" s="6"/>
      <c r="B14" s="245"/>
      <c r="C14" s="247"/>
      <c r="D14" s="55"/>
      <c r="E14" s="55"/>
      <c r="F14" s="55"/>
      <c r="G14" s="55"/>
      <c r="H14" s="55"/>
      <c r="I14" s="9"/>
    </row>
    <row r="15" spans="1:9" ht="15.75" x14ac:dyDescent="0.25">
      <c r="A15" s="6"/>
      <c r="B15" s="245"/>
      <c r="C15" s="247"/>
      <c r="D15" s="55"/>
      <c r="E15" s="55"/>
      <c r="F15" s="55"/>
      <c r="G15" s="55"/>
      <c r="H15" s="55"/>
      <c r="I15" s="9"/>
    </row>
    <row r="16" spans="1:9" ht="15.75" x14ac:dyDescent="0.25">
      <c r="A16" s="6"/>
      <c r="B16" s="245"/>
      <c r="C16" s="247"/>
      <c r="D16" s="55"/>
      <c r="E16" s="55"/>
      <c r="F16" s="55"/>
      <c r="G16" s="55"/>
      <c r="H16" s="55"/>
      <c r="I16" s="9"/>
    </row>
    <row r="17" spans="1:9" ht="15.75" x14ac:dyDescent="0.25">
      <c r="A17" s="6"/>
      <c r="B17" s="245"/>
      <c r="C17" s="247"/>
      <c r="D17" s="55"/>
      <c r="E17" s="55"/>
      <c r="F17" s="55"/>
      <c r="G17" s="55"/>
      <c r="H17" s="55"/>
      <c r="I17" s="9"/>
    </row>
    <row r="18" spans="1:9" ht="15.75" x14ac:dyDescent="0.25">
      <c r="A18" s="6"/>
      <c r="B18" s="245"/>
      <c r="C18" s="247"/>
      <c r="D18" s="55"/>
      <c r="E18" s="55"/>
      <c r="F18" s="55"/>
      <c r="G18" s="55"/>
      <c r="H18" s="55"/>
      <c r="I18" s="9"/>
    </row>
    <row r="19" spans="1:9" ht="15.75" x14ac:dyDescent="0.25">
      <c r="A19" s="6"/>
      <c r="B19" s="245"/>
      <c r="C19" s="247"/>
      <c r="D19" s="55"/>
      <c r="E19" s="55"/>
      <c r="F19" s="55"/>
      <c r="G19" s="55"/>
      <c r="H19" s="55"/>
      <c r="I19" s="9"/>
    </row>
    <row r="20" spans="1:9" ht="15.75" x14ac:dyDescent="0.25">
      <c r="A20" s="6"/>
      <c r="B20" s="245"/>
      <c r="C20" s="247"/>
      <c r="D20" s="55"/>
      <c r="E20" s="55"/>
      <c r="F20" s="55"/>
      <c r="G20" s="55"/>
      <c r="H20" s="55"/>
      <c r="I20" s="9"/>
    </row>
    <row r="21" spans="1:9" ht="15.75" x14ac:dyDescent="0.25">
      <c r="A21" s="6"/>
      <c r="B21" s="245"/>
      <c r="C21" s="247"/>
      <c r="D21" s="55"/>
      <c r="E21" s="55"/>
      <c r="F21" s="55"/>
      <c r="G21" s="55"/>
      <c r="H21" s="55"/>
      <c r="I21" s="9"/>
    </row>
    <row r="22" spans="1:9" ht="15.75" x14ac:dyDescent="0.25">
      <c r="A22" s="6"/>
      <c r="B22" s="245"/>
      <c r="C22" s="247"/>
      <c r="D22" s="55"/>
      <c r="E22" s="55"/>
      <c r="F22" s="55"/>
      <c r="G22" s="55"/>
      <c r="H22" s="55"/>
      <c r="I22" s="9"/>
    </row>
    <row r="23" spans="1:9" ht="18.75" x14ac:dyDescent="0.3">
      <c r="A23" s="6"/>
      <c r="B23" s="245"/>
      <c r="C23" s="247"/>
      <c r="D23" s="5"/>
      <c r="E23" s="5"/>
      <c r="F23" s="5"/>
      <c r="G23" s="10"/>
      <c r="H23" s="5"/>
      <c r="I23" s="11"/>
    </row>
    <row r="24" spans="1:9" ht="18.75" x14ac:dyDescent="0.3">
      <c r="A24" s="12"/>
      <c r="B24" s="245"/>
      <c r="C24" s="247"/>
      <c r="D24" s="13"/>
      <c r="E24" s="13"/>
      <c r="F24" s="13"/>
      <c r="G24" s="14"/>
      <c r="H24" s="13"/>
      <c r="I24" s="15"/>
    </row>
    <row r="25" spans="1:9" ht="18.75" x14ac:dyDescent="0.3">
      <c r="A25" s="12"/>
      <c r="B25" s="245"/>
      <c r="C25" s="247"/>
      <c r="D25" s="13"/>
      <c r="E25" s="13"/>
      <c r="F25" s="13"/>
      <c r="G25" s="14"/>
      <c r="H25" s="13"/>
      <c r="I25" s="15"/>
    </row>
    <row r="26" spans="1:9" ht="19.5" thickBot="1" x14ac:dyDescent="0.35">
      <c r="A26" s="12"/>
      <c r="B26" s="248"/>
      <c r="C26" s="249"/>
      <c r="D26" s="16"/>
      <c r="E26" s="16"/>
      <c r="F26" s="16"/>
      <c r="G26" s="14"/>
      <c r="H26" s="16"/>
      <c r="I26" s="15"/>
    </row>
    <row r="27" spans="1:9" ht="16.5" thickBot="1" x14ac:dyDescent="0.3">
      <c r="A27" s="17">
        <f>SUM(A4:A26)</f>
        <v>65</v>
      </c>
      <c r="B27" s="241"/>
      <c r="C27" s="242"/>
      <c r="D27" s="18">
        <f>SUM(D4:D26)</f>
        <v>380</v>
      </c>
      <c r="E27" s="19">
        <f>SUM(E4:E26)</f>
        <v>0</v>
      </c>
      <c r="F27" s="20">
        <f>SUM(F4:F26)</f>
        <v>40</v>
      </c>
      <c r="G27" s="21">
        <f>SUM(G4:G26)</f>
        <v>0</v>
      </c>
      <c r="H27" s="22">
        <f>SUM(H4:H26)</f>
        <v>350</v>
      </c>
      <c r="I27" s="52"/>
    </row>
    <row r="28" spans="1:9" ht="16.5" thickBot="1" x14ac:dyDescent="0.3">
      <c r="A28" s="17"/>
      <c r="B28" s="243">
        <f>H27-A27</f>
        <v>285</v>
      </c>
      <c r="C28" s="244"/>
      <c r="D28" s="53" t="s">
        <v>11</v>
      </c>
      <c r="E28" s="245">
        <f>H27+G27+F27+E27+D27</f>
        <v>770</v>
      </c>
      <c r="F28" s="246"/>
      <c r="G28" s="246"/>
      <c r="H28" s="247"/>
      <c r="I28" s="52" t="s">
        <v>12</v>
      </c>
    </row>
    <row r="39" spans="1:9" ht="18.75" customHeight="1" x14ac:dyDescent="0.25"/>
    <row r="47" spans="1:9" ht="15.75" thickBot="1" x14ac:dyDescent="0.3">
      <c r="I47" t="s">
        <v>13</v>
      </c>
    </row>
    <row r="48" spans="1:9" ht="23.25" thickBot="1" x14ac:dyDescent="0.35">
      <c r="A48" s="251" t="s">
        <v>67</v>
      </c>
      <c r="B48" s="252"/>
      <c r="C48" s="252"/>
      <c r="D48" s="252"/>
      <c r="E48" s="252"/>
      <c r="F48" s="252"/>
      <c r="G48" s="252"/>
      <c r="H48" s="252"/>
      <c r="I48" s="253"/>
    </row>
    <row r="49" spans="1:9" ht="19.5" thickBot="1" x14ac:dyDescent="0.35">
      <c r="A49" s="254" t="s">
        <v>1</v>
      </c>
      <c r="B49" s="255"/>
      <c r="C49" s="255"/>
      <c r="D49" s="254" t="s">
        <v>2</v>
      </c>
      <c r="E49" s="255"/>
      <c r="F49" s="255"/>
      <c r="G49" s="255"/>
      <c r="H49" s="255"/>
      <c r="I49" s="256"/>
    </row>
    <row r="50" spans="1:9" ht="19.5" thickBot="1" x14ac:dyDescent="0.35">
      <c r="A50" s="1" t="s">
        <v>3</v>
      </c>
      <c r="B50" s="257" t="s">
        <v>4</v>
      </c>
      <c r="C50" s="258"/>
      <c r="D50" s="2" t="s">
        <v>5</v>
      </c>
      <c r="E50" s="2" t="s">
        <v>6</v>
      </c>
      <c r="F50" s="2" t="s">
        <v>7</v>
      </c>
      <c r="G50" s="2" t="s">
        <v>8</v>
      </c>
      <c r="H50" s="2" t="s">
        <v>9</v>
      </c>
      <c r="I50" s="59" t="s">
        <v>10</v>
      </c>
    </row>
    <row r="51" spans="1:9" ht="16.5" thickBot="1" x14ac:dyDescent="0.3">
      <c r="A51" s="60">
        <v>15</v>
      </c>
      <c r="B51" s="259" t="s">
        <v>41</v>
      </c>
      <c r="C51" s="259"/>
      <c r="D51" s="60"/>
      <c r="E51" s="60"/>
      <c r="F51" s="60"/>
      <c r="G51" s="60"/>
      <c r="H51" s="58">
        <f>370*2</f>
        <v>740</v>
      </c>
      <c r="I51" s="26" t="s">
        <v>68</v>
      </c>
    </row>
    <row r="52" spans="1:9" ht="15.75" x14ac:dyDescent="0.25">
      <c r="A52" s="6">
        <f>25*4</f>
        <v>100</v>
      </c>
      <c r="B52" s="260" t="s">
        <v>70</v>
      </c>
      <c r="C52" s="261"/>
      <c r="D52" s="60"/>
      <c r="E52" s="60"/>
      <c r="F52" s="60"/>
      <c r="G52" s="60"/>
      <c r="H52" s="60">
        <f>470*2</f>
        <v>940</v>
      </c>
      <c r="I52" s="37" t="s">
        <v>69</v>
      </c>
    </row>
    <row r="53" spans="1:9" ht="15.75" x14ac:dyDescent="0.25">
      <c r="A53" s="6" t="s">
        <v>74</v>
      </c>
      <c r="B53" s="245" t="s">
        <v>72</v>
      </c>
      <c r="C53" s="247"/>
      <c r="D53" s="60"/>
      <c r="E53" s="60"/>
      <c r="F53" s="60"/>
      <c r="G53" s="60"/>
      <c r="H53" s="60">
        <v>25</v>
      </c>
      <c r="I53" s="7" t="s">
        <v>71</v>
      </c>
    </row>
    <row r="54" spans="1:9" ht="15.75" x14ac:dyDescent="0.25">
      <c r="A54" s="6">
        <v>100</v>
      </c>
      <c r="B54" s="245" t="s">
        <v>75</v>
      </c>
      <c r="C54" s="247"/>
      <c r="D54" s="60"/>
      <c r="E54" s="60"/>
      <c r="F54" s="60"/>
      <c r="G54" s="60"/>
      <c r="H54" s="60">
        <f>2.5*4</f>
        <v>10</v>
      </c>
      <c r="I54" s="7" t="s">
        <v>73</v>
      </c>
    </row>
    <row r="55" spans="1:9" ht="15.75" x14ac:dyDescent="0.25">
      <c r="A55" s="6"/>
      <c r="B55" s="245"/>
      <c r="C55" s="247"/>
      <c r="D55" s="60"/>
      <c r="E55" s="60"/>
      <c r="F55" s="60"/>
      <c r="G55" s="60"/>
      <c r="H55" s="60"/>
      <c r="I55" s="7"/>
    </row>
    <row r="56" spans="1:9" ht="15.75" x14ac:dyDescent="0.25">
      <c r="A56" s="8"/>
      <c r="B56" s="250"/>
      <c r="C56" s="247"/>
      <c r="D56" s="60"/>
      <c r="E56" s="60"/>
      <c r="F56" s="60"/>
      <c r="G56" s="60"/>
      <c r="H56" s="60"/>
      <c r="I56" s="7"/>
    </row>
    <row r="57" spans="1:9" ht="15.75" x14ac:dyDescent="0.25">
      <c r="A57" s="6"/>
      <c r="B57" s="245"/>
      <c r="C57" s="247"/>
      <c r="D57" s="60"/>
      <c r="E57" s="60"/>
      <c r="F57" s="60"/>
      <c r="G57" s="60"/>
      <c r="H57" s="60"/>
      <c r="I57" s="9"/>
    </row>
    <row r="58" spans="1:9" ht="15.75" x14ac:dyDescent="0.25">
      <c r="A58" s="6"/>
      <c r="B58" s="245"/>
      <c r="C58" s="247"/>
      <c r="D58" s="60"/>
      <c r="E58" s="60"/>
      <c r="F58" s="60"/>
      <c r="G58" s="60"/>
      <c r="H58" s="60"/>
      <c r="I58" s="7"/>
    </row>
    <row r="59" spans="1:9" ht="15.75" x14ac:dyDescent="0.25">
      <c r="A59" s="6"/>
      <c r="B59" s="245"/>
      <c r="C59" s="247"/>
      <c r="D59" s="60"/>
      <c r="E59" s="60"/>
      <c r="F59" s="60"/>
      <c r="G59" s="60"/>
      <c r="H59" s="60"/>
      <c r="I59" s="7"/>
    </row>
    <row r="60" spans="1:9" ht="15.75" x14ac:dyDescent="0.25">
      <c r="A60" s="6"/>
      <c r="B60" s="245"/>
      <c r="C60" s="247"/>
      <c r="D60" s="60"/>
      <c r="E60" s="60"/>
      <c r="F60" s="60"/>
      <c r="G60" s="60"/>
      <c r="H60" s="60"/>
      <c r="I60" s="7"/>
    </row>
    <row r="61" spans="1:9" ht="15.75" x14ac:dyDescent="0.25">
      <c r="A61" s="6"/>
      <c r="B61" s="245"/>
      <c r="C61" s="247"/>
      <c r="D61" s="60"/>
      <c r="E61" s="60"/>
      <c r="F61" s="60"/>
      <c r="G61" s="60"/>
      <c r="H61" s="60"/>
      <c r="I61" s="9"/>
    </row>
    <row r="62" spans="1:9" ht="15.75" x14ac:dyDescent="0.25">
      <c r="A62" s="6"/>
      <c r="B62" s="245"/>
      <c r="C62" s="247"/>
      <c r="D62" s="60"/>
      <c r="E62" s="60"/>
      <c r="F62" s="60"/>
      <c r="G62" s="60"/>
      <c r="H62" s="60"/>
      <c r="I62" s="9"/>
    </row>
    <row r="63" spans="1:9" ht="15.75" x14ac:dyDescent="0.25">
      <c r="A63" s="6"/>
      <c r="B63" s="245"/>
      <c r="C63" s="247"/>
      <c r="D63" s="60"/>
      <c r="E63" s="60"/>
      <c r="F63" s="60"/>
      <c r="G63" s="60"/>
      <c r="H63" s="60"/>
      <c r="I63" s="9"/>
    </row>
    <row r="64" spans="1:9" ht="15.75" x14ac:dyDescent="0.25">
      <c r="A64" s="6"/>
      <c r="B64" s="245"/>
      <c r="C64" s="247"/>
      <c r="D64" s="60"/>
      <c r="E64" s="60"/>
      <c r="F64" s="60"/>
      <c r="G64" s="60"/>
      <c r="H64" s="60"/>
      <c r="I64" s="9"/>
    </row>
    <row r="65" spans="1:9" ht="15.75" x14ac:dyDescent="0.25">
      <c r="A65" s="6"/>
      <c r="B65" s="245"/>
      <c r="C65" s="247"/>
      <c r="D65" s="60"/>
      <c r="E65" s="60"/>
      <c r="F65" s="60"/>
      <c r="G65" s="60"/>
      <c r="H65" s="60"/>
      <c r="I65" s="9"/>
    </row>
    <row r="66" spans="1:9" ht="15.75" x14ac:dyDescent="0.25">
      <c r="A66" s="6"/>
      <c r="B66" s="245"/>
      <c r="C66" s="247"/>
      <c r="D66" s="60"/>
      <c r="E66" s="60"/>
      <c r="F66" s="60"/>
      <c r="G66" s="60"/>
      <c r="H66" s="60"/>
      <c r="I66" s="9"/>
    </row>
    <row r="67" spans="1:9" ht="15.75" x14ac:dyDescent="0.25">
      <c r="A67" s="6"/>
      <c r="B67" s="245"/>
      <c r="C67" s="247"/>
      <c r="D67" s="60"/>
      <c r="E67" s="60"/>
      <c r="F67" s="60"/>
      <c r="G67" s="60"/>
      <c r="H67" s="60"/>
      <c r="I67" s="9"/>
    </row>
    <row r="68" spans="1:9" ht="15.75" x14ac:dyDescent="0.25">
      <c r="A68" s="6"/>
      <c r="B68" s="245"/>
      <c r="C68" s="247"/>
      <c r="D68" s="60"/>
      <c r="E68" s="60"/>
      <c r="F68" s="60"/>
      <c r="G68" s="60"/>
      <c r="H68" s="60"/>
      <c r="I68" s="9"/>
    </row>
    <row r="69" spans="1:9" ht="15.75" x14ac:dyDescent="0.25">
      <c r="A69" s="6"/>
      <c r="B69" s="245"/>
      <c r="C69" s="247"/>
      <c r="D69" s="60"/>
      <c r="E69" s="60"/>
      <c r="F69" s="60"/>
      <c r="G69" s="60"/>
      <c r="H69" s="60"/>
      <c r="I69" s="9"/>
    </row>
    <row r="70" spans="1:9" ht="18.75" x14ac:dyDescent="0.3">
      <c r="A70" s="6"/>
      <c r="B70" s="245"/>
      <c r="C70" s="247"/>
      <c r="D70" s="5"/>
      <c r="E70" s="5"/>
      <c r="F70" s="5"/>
      <c r="G70" s="10"/>
      <c r="H70" s="5"/>
      <c r="I70" s="11"/>
    </row>
    <row r="71" spans="1:9" ht="18.75" x14ac:dyDescent="0.3">
      <c r="A71" s="12"/>
      <c r="B71" s="245"/>
      <c r="C71" s="247"/>
      <c r="D71" s="13"/>
      <c r="E71" s="13"/>
      <c r="F71" s="13"/>
      <c r="G71" s="14"/>
      <c r="H71" s="13"/>
      <c r="I71" s="15"/>
    </row>
    <row r="72" spans="1:9" ht="18.75" x14ac:dyDescent="0.3">
      <c r="A72" s="12"/>
      <c r="B72" s="245"/>
      <c r="C72" s="247"/>
      <c r="D72" s="13"/>
      <c r="E72" s="13"/>
      <c r="F72" s="13"/>
      <c r="G72" s="14"/>
      <c r="H72" s="13"/>
      <c r="I72" s="15"/>
    </row>
    <row r="73" spans="1:9" ht="19.5" thickBot="1" x14ac:dyDescent="0.35">
      <c r="A73" s="12"/>
      <c r="B73" s="248"/>
      <c r="C73" s="249"/>
      <c r="D73" s="16"/>
      <c r="E73" s="16"/>
      <c r="F73" s="16"/>
      <c r="G73" s="14"/>
      <c r="H73" s="16"/>
      <c r="I73" s="15"/>
    </row>
    <row r="74" spans="1:9" ht="16.5" thickBot="1" x14ac:dyDescent="0.3">
      <c r="A74" s="17">
        <f>SUM(A51:A73)</f>
        <v>215</v>
      </c>
      <c r="B74" s="241"/>
      <c r="C74" s="242"/>
      <c r="D74" s="18">
        <f>SUM(D51:D73)</f>
        <v>0</v>
      </c>
      <c r="E74" s="19">
        <f>SUM(E51:E73)</f>
        <v>0</v>
      </c>
      <c r="F74" s="20">
        <f>SUM(F51:F73)</f>
        <v>0</v>
      </c>
      <c r="G74" s="21">
        <f>SUM(G51:G73)</f>
        <v>0</v>
      </c>
      <c r="H74" s="22">
        <f>SUM(H51:H73)</f>
        <v>1715</v>
      </c>
      <c r="I74" s="56"/>
    </row>
    <row r="75" spans="1:9" ht="16.5" thickBot="1" x14ac:dyDescent="0.3">
      <c r="A75" s="17"/>
      <c r="B75" s="243">
        <f>H74-A74</f>
        <v>1500</v>
      </c>
      <c r="C75" s="244"/>
      <c r="D75" s="57" t="s">
        <v>11</v>
      </c>
      <c r="E75" s="245">
        <f>H74+G74+F74+E74+D74</f>
        <v>1715</v>
      </c>
      <c r="F75" s="246"/>
      <c r="G75" s="246"/>
      <c r="H75" s="247"/>
      <c r="I75" s="56" t="s">
        <v>12</v>
      </c>
    </row>
    <row r="94" spans="1:9" ht="15.75" thickBot="1" x14ac:dyDescent="0.3"/>
    <row r="95" spans="1:9" ht="23.25" thickBot="1" x14ac:dyDescent="0.35">
      <c r="A95" s="251" t="s">
        <v>76</v>
      </c>
      <c r="B95" s="252"/>
      <c r="C95" s="252"/>
      <c r="D95" s="252"/>
      <c r="E95" s="252"/>
      <c r="F95" s="252"/>
      <c r="G95" s="252"/>
      <c r="H95" s="252"/>
      <c r="I95" s="253"/>
    </row>
    <row r="96" spans="1:9" ht="19.5" thickBot="1" x14ac:dyDescent="0.35">
      <c r="A96" s="254" t="s">
        <v>1</v>
      </c>
      <c r="B96" s="255"/>
      <c r="C96" s="255"/>
      <c r="D96" s="254" t="s">
        <v>2</v>
      </c>
      <c r="E96" s="255"/>
      <c r="F96" s="255"/>
      <c r="G96" s="255"/>
      <c r="H96" s="255"/>
      <c r="I96" s="256"/>
    </row>
    <row r="97" spans="1:9" ht="19.5" thickBot="1" x14ac:dyDescent="0.35">
      <c r="A97" s="1" t="s">
        <v>3</v>
      </c>
      <c r="B97" s="257" t="s">
        <v>4</v>
      </c>
      <c r="C97" s="258"/>
      <c r="D97" s="2" t="s">
        <v>5</v>
      </c>
      <c r="E97" s="2" t="s">
        <v>6</v>
      </c>
      <c r="F97" s="2" t="s">
        <v>7</v>
      </c>
      <c r="G97" s="2" t="s">
        <v>8</v>
      </c>
      <c r="H97" s="2" t="s">
        <v>9</v>
      </c>
      <c r="I97" s="64" t="s">
        <v>10</v>
      </c>
    </row>
    <row r="98" spans="1:9" ht="16.5" thickBot="1" x14ac:dyDescent="0.3">
      <c r="A98" s="65">
        <v>50</v>
      </c>
      <c r="B98" s="259" t="s">
        <v>31</v>
      </c>
      <c r="C98" s="259"/>
      <c r="D98" s="65"/>
      <c r="E98" s="65"/>
      <c r="F98" s="65">
        <v>20</v>
      </c>
      <c r="G98" s="65"/>
      <c r="H98" s="63"/>
      <c r="I98" s="26" t="s">
        <v>77</v>
      </c>
    </row>
    <row r="99" spans="1:9" ht="15.75" x14ac:dyDescent="0.25">
      <c r="A99" s="6">
        <v>5</v>
      </c>
      <c r="B99" s="260" t="s">
        <v>80</v>
      </c>
      <c r="C99" s="261"/>
      <c r="D99" s="65"/>
      <c r="E99" s="65"/>
      <c r="F99" s="65"/>
      <c r="G99" s="65"/>
      <c r="H99" s="65">
        <v>350</v>
      </c>
      <c r="I99" s="37" t="s">
        <v>78</v>
      </c>
    </row>
    <row r="100" spans="1:9" ht="15.75" x14ac:dyDescent="0.25">
      <c r="A100" s="6"/>
      <c r="B100" s="245"/>
      <c r="C100" s="247"/>
      <c r="D100" s="65"/>
      <c r="E100" s="65"/>
      <c r="F100" s="65">
        <v>36</v>
      </c>
      <c r="G100" s="65"/>
      <c r="H100" s="65">
        <v>40</v>
      </c>
      <c r="I100" s="7" t="s">
        <v>79</v>
      </c>
    </row>
    <row r="101" spans="1:9" ht="15.75" x14ac:dyDescent="0.25">
      <c r="A101" s="6"/>
      <c r="B101" s="245"/>
      <c r="C101" s="247"/>
      <c r="D101" s="65"/>
      <c r="E101" s="65"/>
      <c r="F101" s="65"/>
      <c r="G101" s="65"/>
      <c r="H101" s="65"/>
      <c r="I101" s="7"/>
    </row>
    <row r="102" spans="1:9" ht="15.75" x14ac:dyDescent="0.25">
      <c r="A102" s="6"/>
      <c r="B102" s="245"/>
      <c r="C102" s="247"/>
      <c r="D102" s="65"/>
      <c r="E102" s="65"/>
      <c r="F102" s="65"/>
      <c r="G102" s="65"/>
      <c r="H102" s="65">
        <v>400</v>
      </c>
      <c r="I102" s="7" t="s">
        <v>15</v>
      </c>
    </row>
    <row r="103" spans="1:9" ht="15.75" x14ac:dyDescent="0.25">
      <c r="A103" s="8"/>
      <c r="B103" s="250"/>
      <c r="C103" s="247"/>
      <c r="D103" s="65"/>
      <c r="E103" s="65"/>
      <c r="F103" s="65"/>
      <c r="G103" s="65"/>
      <c r="H103" s="65"/>
      <c r="I103" s="7"/>
    </row>
    <row r="104" spans="1:9" ht="15.75" x14ac:dyDescent="0.25">
      <c r="A104" s="6"/>
      <c r="B104" s="245"/>
      <c r="C104" s="247"/>
      <c r="D104" s="65"/>
      <c r="E104" s="65"/>
      <c r="F104" s="65"/>
      <c r="G104" s="65"/>
      <c r="H104" s="65"/>
      <c r="I104" s="9"/>
    </row>
    <row r="105" spans="1:9" ht="15.75" x14ac:dyDescent="0.25">
      <c r="A105" s="6"/>
      <c r="B105" s="245"/>
      <c r="C105" s="247"/>
      <c r="D105" s="65"/>
      <c r="E105" s="65"/>
      <c r="F105" s="65"/>
      <c r="G105" s="65"/>
      <c r="H105" s="65"/>
      <c r="I105" s="7"/>
    </row>
    <row r="106" spans="1:9" ht="15.75" x14ac:dyDescent="0.25">
      <c r="A106" s="6"/>
      <c r="B106" s="245"/>
      <c r="C106" s="247"/>
      <c r="D106" s="65"/>
      <c r="E106" s="65"/>
      <c r="F106" s="65"/>
      <c r="G106" s="65"/>
      <c r="H106" s="65"/>
      <c r="I106" s="7"/>
    </row>
    <row r="107" spans="1:9" ht="15.75" x14ac:dyDescent="0.25">
      <c r="A107" s="6"/>
      <c r="B107" s="245"/>
      <c r="C107" s="247"/>
      <c r="D107" s="65"/>
      <c r="E107" s="65"/>
      <c r="F107" s="65"/>
      <c r="G107" s="65"/>
      <c r="H107" s="65"/>
      <c r="I107" s="7"/>
    </row>
    <row r="108" spans="1:9" ht="15.75" x14ac:dyDescent="0.25">
      <c r="A108" s="6"/>
      <c r="B108" s="245"/>
      <c r="C108" s="247"/>
      <c r="D108" s="65"/>
      <c r="E108" s="65"/>
      <c r="F108" s="65"/>
      <c r="G108" s="65"/>
      <c r="H108" s="65"/>
      <c r="I108" s="9"/>
    </row>
    <row r="109" spans="1:9" ht="15.75" x14ac:dyDescent="0.25">
      <c r="A109" s="6"/>
      <c r="B109" s="245"/>
      <c r="C109" s="247"/>
      <c r="D109" s="65"/>
      <c r="E109" s="65"/>
      <c r="F109" s="65"/>
      <c r="G109" s="65"/>
      <c r="H109" s="65"/>
      <c r="I109" s="9"/>
    </row>
    <row r="110" spans="1:9" ht="15.75" x14ac:dyDescent="0.25">
      <c r="A110" s="6"/>
      <c r="B110" s="245"/>
      <c r="C110" s="247"/>
      <c r="D110" s="65"/>
      <c r="E110" s="65"/>
      <c r="F110" s="65"/>
      <c r="G110" s="65"/>
      <c r="H110" s="65"/>
      <c r="I110" s="9"/>
    </row>
    <row r="111" spans="1:9" ht="15.75" x14ac:dyDescent="0.25">
      <c r="A111" s="6"/>
      <c r="B111" s="245"/>
      <c r="C111" s="247"/>
      <c r="D111" s="65"/>
      <c r="E111" s="65"/>
      <c r="F111" s="65"/>
      <c r="G111" s="65"/>
      <c r="H111" s="65"/>
      <c r="I111" s="9"/>
    </row>
    <row r="112" spans="1:9" ht="15.75" x14ac:dyDescent="0.25">
      <c r="A112" s="6"/>
      <c r="B112" s="245"/>
      <c r="C112" s="247"/>
      <c r="D112" s="65"/>
      <c r="E112" s="65"/>
      <c r="F112" s="65"/>
      <c r="G112" s="65"/>
      <c r="H112" s="65"/>
      <c r="I112" s="9"/>
    </row>
    <row r="113" spans="1:9" ht="15.75" x14ac:dyDescent="0.25">
      <c r="A113" s="6"/>
      <c r="B113" s="245"/>
      <c r="C113" s="247"/>
      <c r="D113" s="65"/>
      <c r="E113" s="65"/>
      <c r="F113" s="65"/>
      <c r="G113" s="65"/>
      <c r="H113" s="65"/>
      <c r="I113" s="9"/>
    </row>
    <row r="114" spans="1:9" ht="15.75" x14ac:dyDescent="0.25">
      <c r="A114" s="6"/>
      <c r="B114" s="245"/>
      <c r="C114" s="247"/>
      <c r="D114" s="65"/>
      <c r="E114" s="65"/>
      <c r="F114" s="65"/>
      <c r="G114" s="65"/>
      <c r="H114" s="65"/>
      <c r="I114" s="9"/>
    </row>
    <row r="115" spans="1:9" ht="15.75" x14ac:dyDescent="0.25">
      <c r="A115" s="6"/>
      <c r="B115" s="245"/>
      <c r="C115" s="247"/>
      <c r="D115" s="65"/>
      <c r="E115" s="65"/>
      <c r="F115" s="65"/>
      <c r="G115" s="65"/>
      <c r="H115" s="65"/>
      <c r="I115" s="9"/>
    </row>
    <row r="116" spans="1:9" ht="15.75" x14ac:dyDescent="0.25">
      <c r="A116" s="6"/>
      <c r="B116" s="245"/>
      <c r="C116" s="247"/>
      <c r="D116" s="65"/>
      <c r="E116" s="65"/>
      <c r="F116" s="65"/>
      <c r="G116" s="65"/>
      <c r="H116" s="65"/>
      <c r="I116" s="9"/>
    </row>
    <row r="117" spans="1:9" ht="18.75" x14ac:dyDescent="0.3">
      <c r="A117" s="6"/>
      <c r="B117" s="245"/>
      <c r="C117" s="247"/>
      <c r="D117" s="5"/>
      <c r="E117" s="5"/>
      <c r="F117" s="5"/>
      <c r="G117" s="10"/>
      <c r="H117" s="5"/>
      <c r="I117" s="11"/>
    </row>
    <row r="118" spans="1:9" ht="18.75" x14ac:dyDescent="0.3">
      <c r="A118" s="12"/>
      <c r="B118" s="245"/>
      <c r="C118" s="247"/>
      <c r="D118" s="13"/>
      <c r="E118" s="13"/>
      <c r="F118" s="13"/>
      <c r="G118" s="14"/>
      <c r="H118" s="13"/>
      <c r="I118" s="15"/>
    </row>
    <row r="119" spans="1:9" ht="18.75" x14ac:dyDescent="0.3">
      <c r="A119" s="12"/>
      <c r="B119" s="245"/>
      <c r="C119" s="247"/>
      <c r="D119" s="13"/>
      <c r="E119" s="13"/>
      <c r="F119" s="13"/>
      <c r="G119" s="14"/>
      <c r="H119" s="13"/>
      <c r="I119" s="15"/>
    </row>
    <row r="120" spans="1:9" ht="19.5" thickBot="1" x14ac:dyDescent="0.35">
      <c r="A120" s="12"/>
      <c r="B120" s="248"/>
      <c r="C120" s="249"/>
      <c r="D120" s="16"/>
      <c r="E120" s="16"/>
      <c r="F120" s="16"/>
      <c r="G120" s="14"/>
      <c r="H120" s="16"/>
      <c r="I120" s="15"/>
    </row>
    <row r="121" spans="1:9" ht="16.5" thickBot="1" x14ac:dyDescent="0.3">
      <c r="A121" s="17">
        <f>SUM(A98:A120)</f>
        <v>55</v>
      </c>
      <c r="B121" s="241"/>
      <c r="C121" s="242"/>
      <c r="D121" s="18">
        <f>SUM(D98:D120)</f>
        <v>0</v>
      </c>
      <c r="E121" s="19">
        <f>SUM(E98:E120)</f>
        <v>0</v>
      </c>
      <c r="F121" s="20">
        <f>SUM(F98:F120)</f>
        <v>56</v>
      </c>
      <c r="G121" s="21">
        <f>SUM(G98:G120)</f>
        <v>0</v>
      </c>
      <c r="H121" s="22">
        <f>SUM(H98:H120)</f>
        <v>790</v>
      </c>
      <c r="I121" s="61"/>
    </row>
    <row r="122" spans="1:9" ht="16.5" thickBot="1" x14ac:dyDescent="0.3">
      <c r="A122" s="17"/>
      <c r="B122" s="243">
        <f>H121-A121</f>
        <v>735</v>
      </c>
      <c r="C122" s="244"/>
      <c r="D122" s="62" t="s">
        <v>11</v>
      </c>
      <c r="E122" s="245">
        <f>H121+G121+F121+E121+D121</f>
        <v>846</v>
      </c>
      <c r="F122" s="246"/>
      <c r="G122" s="246"/>
      <c r="H122" s="247"/>
      <c r="I122" s="61" t="s">
        <v>12</v>
      </c>
    </row>
    <row r="141" spans="1:9" ht="15.75" thickBot="1" x14ac:dyDescent="0.3"/>
    <row r="142" spans="1:9" ht="23.25" thickBot="1" x14ac:dyDescent="0.35">
      <c r="A142" s="251" t="s">
        <v>81</v>
      </c>
      <c r="B142" s="252"/>
      <c r="C142" s="252"/>
      <c r="D142" s="252"/>
      <c r="E142" s="252"/>
      <c r="F142" s="252"/>
      <c r="G142" s="252"/>
      <c r="H142" s="252"/>
      <c r="I142" s="253"/>
    </row>
    <row r="143" spans="1:9" ht="19.5" thickBot="1" x14ac:dyDescent="0.35">
      <c r="A143" s="254" t="s">
        <v>1</v>
      </c>
      <c r="B143" s="255"/>
      <c r="C143" s="255"/>
      <c r="D143" s="254" t="s">
        <v>2</v>
      </c>
      <c r="E143" s="255"/>
      <c r="F143" s="255"/>
      <c r="G143" s="255"/>
      <c r="H143" s="255"/>
      <c r="I143" s="256"/>
    </row>
    <row r="144" spans="1:9" ht="19.5" thickBot="1" x14ac:dyDescent="0.35">
      <c r="A144" s="1" t="s">
        <v>3</v>
      </c>
      <c r="B144" s="257" t="s">
        <v>4</v>
      </c>
      <c r="C144" s="258"/>
      <c r="D144" s="2" t="s">
        <v>5</v>
      </c>
      <c r="E144" s="2" t="s">
        <v>6</v>
      </c>
      <c r="F144" s="2" t="s">
        <v>7</v>
      </c>
      <c r="G144" s="2" t="s">
        <v>8</v>
      </c>
      <c r="H144" s="2" t="s">
        <v>9</v>
      </c>
      <c r="I144" s="69" t="s">
        <v>10</v>
      </c>
    </row>
    <row r="145" spans="1:9" ht="16.5" thickBot="1" x14ac:dyDescent="0.3">
      <c r="A145" s="70">
        <v>50</v>
      </c>
      <c r="B145" s="259" t="s">
        <v>84</v>
      </c>
      <c r="C145" s="259"/>
      <c r="D145" s="70"/>
      <c r="E145" s="70"/>
      <c r="F145" s="70">
        <v>7</v>
      </c>
      <c r="G145" s="70"/>
      <c r="H145" s="66"/>
      <c r="I145" s="26" t="s">
        <v>82</v>
      </c>
    </row>
    <row r="146" spans="1:9" ht="15.75" x14ac:dyDescent="0.25">
      <c r="A146" s="6">
        <v>75</v>
      </c>
      <c r="B146" s="260" t="s">
        <v>87</v>
      </c>
      <c r="C146" s="261"/>
      <c r="D146" s="70"/>
      <c r="E146" s="70"/>
      <c r="F146" s="70"/>
      <c r="G146" s="70"/>
      <c r="H146" s="70">
        <v>700</v>
      </c>
      <c r="I146" s="37" t="s">
        <v>83</v>
      </c>
    </row>
    <row r="147" spans="1:9" ht="15.75" x14ac:dyDescent="0.25">
      <c r="A147" s="6">
        <v>805</v>
      </c>
      <c r="B147" s="245" t="s">
        <v>88</v>
      </c>
      <c r="C147" s="247"/>
      <c r="D147" s="70"/>
      <c r="E147" s="70"/>
      <c r="F147" s="70"/>
      <c r="G147" s="70"/>
      <c r="H147" s="70">
        <v>560</v>
      </c>
      <c r="I147" s="7" t="s">
        <v>86</v>
      </c>
    </row>
    <row r="148" spans="1:9" ht="15.75" x14ac:dyDescent="0.25">
      <c r="A148" s="6"/>
      <c r="B148" s="245"/>
      <c r="C148" s="247"/>
      <c r="D148" s="70"/>
      <c r="E148" s="70"/>
      <c r="F148" s="70"/>
      <c r="G148" s="70"/>
      <c r="H148" s="70"/>
      <c r="I148" s="7"/>
    </row>
    <row r="149" spans="1:9" ht="15.75" x14ac:dyDescent="0.25">
      <c r="A149" s="6"/>
      <c r="B149" s="245"/>
      <c r="C149" s="247"/>
      <c r="D149" s="70"/>
      <c r="E149" s="70"/>
      <c r="F149" s="70"/>
      <c r="G149" s="70"/>
      <c r="H149" s="70"/>
      <c r="I149" s="7"/>
    </row>
    <row r="150" spans="1:9" ht="15.75" x14ac:dyDescent="0.25">
      <c r="A150" s="8"/>
      <c r="B150" s="250"/>
      <c r="C150" s="247"/>
      <c r="D150" s="70"/>
      <c r="E150" s="70"/>
      <c r="F150" s="70"/>
      <c r="G150" s="70"/>
      <c r="H150" s="70"/>
      <c r="I150" s="7"/>
    </row>
    <row r="151" spans="1:9" ht="15.75" x14ac:dyDescent="0.25">
      <c r="A151" s="6"/>
      <c r="B151" s="245"/>
      <c r="C151" s="247"/>
      <c r="D151" s="70"/>
      <c r="E151" s="70"/>
      <c r="F151" s="70"/>
      <c r="G151" s="70"/>
      <c r="H151" s="70"/>
      <c r="I151" s="9"/>
    </row>
    <row r="152" spans="1:9" ht="15.75" x14ac:dyDescent="0.25">
      <c r="A152" s="6"/>
      <c r="B152" s="245"/>
      <c r="C152" s="247"/>
      <c r="D152" s="70"/>
      <c r="E152" s="70"/>
      <c r="F152" s="70"/>
      <c r="G152" s="70"/>
      <c r="H152" s="70"/>
      <c r="I152" s="7"/>
    </row>
    <row r="153" spans="1:9" ht="15.75" x14ac:dyDescent="0.25">
      <c r="A153" s="6"/>
      <c r="B153" s="245"/>
      <c r="C153" s="247"/>
      <c r="D153" s="70"/>
      <c r="E153" s="70"/>
      <c r="F153" s="70"/>
      <c r="G153" s="70"/>
      <c r="H153" s="70"/>
      <c r="I153" s="7"/>
    </row>
    <row r="154" spans="1:9" ht="15.75" x14ac:dyDescent="0.25">
      <c r="A154" s="6"/>
      <c r="B154" s="245"/>
      <c r="C154" s="247"/>
      <c r="D154" s="70"/>
      <c r="E154" s="70"/>
      <c r="F154" s="70"/>
      <c r="G154" s="70"/>
      <c r="H154" s="70"/>
      <c r="I154" s="7"/>
    </row>
    <row r="155" spans="1:9" ht="15.75" x14ac:dyDescent="0.25">
      <c r="A155" s="6"/>
      <c r="B155" s="245"/>
      <c r="C155" s="247"/>
      <c r="D155" s="70"/>
      <c r="E155" s="70"/>
      <c r="F155" s="70"/>
      <c r="G155" s="70"/>
      <c r="H155" s="70"/>
      <c r="I155" s="9"/>
    </row>
    <row r="156" spans="1:9" ht="15.75" x14ac:dyDescent="0.25">
      <c r="A156" s="6"/>
      <c r="B156" s="245"/>
      <c r="C156" s="247"/>
      <c r="D156" s="70"/>
      <c r="E156" s="70"/>
      <c r="F156" s="70"/>
      <c r="G156" s="70"/>
      <c r="H156" s="70"/>
      <c r="I156" s="9"/>
    </row>
    <row r="157" spans="1:9" ht="15.75" x14ac:dyDescent="0.25">
      <c r="A157" s="6"/>
      <c r="B157" s="245"/>
      <c r="C157" s="247"/>
      <c r="D157" s="70"/>
      <c r="E157" s="70"/>
      <c r="F157" s="70"/>
      <c r="G157" s="70"/>
      <c r="H157" s="70"/>
      <c r="I157" s="9"/>
    </row>
    <row r="158" spans="1:9" ht="15.75" x14ac:dyDescent="0.25">
      <c r="A158" s="6"/>
      <c r="B158" s="245"/>
      <c r="C158" s="247"/>
      <c r="D158" s="70"/>
      <c r="E158" s="70"/>
      <c r="F158" s="70"/>
      <c r="G158" s="70"/>
      <c r="H158" s="70"/>
      <c r="I158" s="9"/>
    </row>
    <row r="159" spans="1:9" ht="15.75" x14ac:dyDescent="0.25">
      <c r="A159" s="6"/>
      <c r="B159" s="245"/>
      <c r="C159" s="247"/>
      <c r="D159" s="70"/>
      <c r="E159" s="70"/>
      <c r="F159" s="70"/>
      <c r="G159" s="70"/>
      <c r="H159" s="70"/>
      <c r="I159" s="9"/>
    </row>
    <row r="160" spans="1:9" ht="15.75" x14ac:dyDescent="0.25">
      <c r="A160" s="6"/>
      <c r="B160" s="245"/>
      <c r="C160" s="247"/>
      <c r="D160" s="70"/>
      <c r="E160" s="70"/>
      <c r="F160" s="70"/>
      <c r="G160" s="70"/>
      <c r="H160" s="70"/>
      <c r="I160" s="9"/>
    </row>
    <row r="161" spans="1:9" ht="15.75" x14ac:dyDescent="0.25">
      <c r="A161" s="6"/>
      <c r="B161" s="245"/>
      <c r="C161" s="247"/>
      <c r="D161" s="70"/>
      <c r="E161" s="70"/>
      <c r="F161" s="70"/>
      <c r="G161" s="70"/>
      <c r="H161" s="70"/>
      <c r="I161" s="9"/>
    </row>
    <row r="162" spans="1:9" ht="15.75" x14ac:dyDescent="0.25">
      <c r="A162" s="6"/>
      <c r="B162" s="245"/>
      <c r="C162" s="247"/>
      <c r="D162" s="70"/>
      <c r="E162" s="70"/>
      <c r="F162" s="70"/>
      <c r="G162" s="70"/>
      <c r="H162" s="70"/>
      <c r="I162" s="9"/>
    </row>
    <row r="163" spans="1:9" ht="15.75" x14ac:dyDescent="0.25">
      <c r="A163" s="6"/>
      <c r="B163" s="245"/>
      <c r="C163" s="247"/>
      <c r="D163" s="70"/>
      <c r="E163" s="70"/>
      <c r="F163" s="70"/>
      <c r="G163" s="70"/>
      <c r="H163" s="70"/>
      <c r="I163" s="9"/>
    </row>
    <row r="164" spans="1:9" ht="18.75" x14ac:dyDescent="0.3">
      <c r="A164" s="6"/>
      <c r="B164" s="245"/>
      <c r="C164" s="247"/>
      <c r="D164" s="5"/>
      <c r="E164" s="5"/>
      <c r="F164" s="5"/>
      <c r="G164" s="10"/>
      <c r="H164" s="5"/>
      <c r="I164" s="11"/>
    </row>
    <row r="165" spans="1:9" ht="18.75" x14ac:dyDescent="0.3">
      <c r="A165" s="12"/>
      <c r="B165" s="245"/>
      <c r="C165" s="247"/>
      <c r="D165" s="13"/>
      <c r="E165" s="13"/>
      <c r="F165" s="13"/>
      <c r="G165" s="14"/>
      <c r="H165" s="13"/>
      <c r="I165" s="15"/>
    </row>
    <row r="166" spans="1:9" ht="18.75" x14ac:dyDescent="0.3">
      <c r="A166" s="12"/>
      <c r="B166" s="245"/>
      <c r="C166" s="247"/>
      <c r="D166" s="13"/>
      <c r="E166" s="13"/>
      <c r="F166" s="13"/>
      <c r="G166" s="14"/>
      <c r="H166" s="13"/>
      <c r="I166" s="15"/>
    </row>
    <row r="167" spans="1:9" ht="19.5" thickBot="1" x14ac:dyDescent="0.35">
      <c r="A167" s="12"/>
      <c r="B167" s="248"/>
      <c r="C167" s="249"/>
      <c r="D167" s="16"/>
      <c r="E167" s="16"/>
      <c r="F167" s="16"/>
      <c r="G167" s="14"/>
      <c r="H167" s="16"/>
      <c r="I167" s="15"/>
    </row>
    <row r="168" spans="1:9" ht="16.5" thickBot="1" x14ac:dyDescent="0.3">
      <c r="A168" s="17">
        <f>SUM(A145:A167)</f>
        <v>930</v>
      </c>
      <c r="B168" s="241"/>
      <c r="C168" s="242"/>
      <c r="D168" s="18">
        <f>SUM(D145:D167)</f>
        <v>0</v>
      </c>
      <c r="E168" s="19">
        <f>SUM(E145:E167)</f>
        <v>0</v>
      </c>
      <c r="F168" s="20">
        <f>SUM(F145:F167)</f>
        <v>7</v>
      </c>
      <c r="G168" s="21">
        <f>SUM(G145:G167)</f>
        <v>0</v>
      </c>
      <c r="H168" s="22">
        <f>SUM(H145:H167)</f>
        <v>1260</v>
      </c>
      <c r="I168" s="67"/>
    </row>
    <row r="169" spans="1:9" ht="16.5" thickBot="1" x14ac:dyDescent="0.3">
      <c r="A169" s="17"/>
      <c r="B169" s="243">
        <f>H168-A168</f>
        <v>330</v>
      </c>
      <c r="C169" s="244"/>
      <c r="D169" s="68" t="s">
        <v>11</v>
      </c>
      <c r="E169" s="245">
        <f>H168+G168+F168+E168+D168</f>
        <v>1267</v>
      </c>
      <c r="F169" s="246"/>
      <c r="G169" s="246"/>
      <c r="H169" s="247"/>
      <c r="I169" s="67" t="s">
        <v>12</v>
      </c>
    </row>
    <row r="188" spans="1:9" ht="15.75" thickBot="1" x14ac:dyDescent="0.3"/>
    <row r="189" spans="1:9" ht="23.25" thickBot="1" x14ac:dyDescent="0.35">
      <c r="A189" s="251" t="s">
        <v>85</v>
      </c>
      <c r="B189" s="252"/>
      <c r="C189" s="252"/>
      <c r="D189" s="252"/>
      <c r="E189" s="252"/>
      <c r="F189" s="252"/>
      <c r="G189" s="252"/>
      <c r="H189" s="252"/>
      <c r="I189" s="253"/>
    </row>
    <row r="190" spans="1:9" ht="19.5" thickBot="1" x14ac:dyDescent="0.35">
      <c r="A190" s="254" t="s">
        <v>1</v>
      </c>
      <c r="B190" s="255"/>
      <c r="C190" s="255"/>
      <c r="D190" s="254" t="s">
        <v>2</v>
      </c>
      <c r="E190" s="255"/>
      <c r="F190" s="255"/>
      <c r="G190" s="255"/>
      <c r="H190" s="255"/>
      <c r="I190" s="256"/>
    </row>
    <row r="191" spans="1:9" ht="19.5" thickBot="1" x14ac:dyDescent="0.35">
      <c r="A191" s="1" t="s">
        <v>3</v>
      </c>
      <c r="B191" s="257" t="s">
        <v>4</v>
      </c>
      <c r="C191" s="258"/>
      <c r="D191" s="2" t="s">
        <v>5</v>
      </c>
      <c r="E191" s="2" t="s">
        <v>6</v>
      </c>
      <c r="F191" s="2" t="s">
        <v>7</v>
      </c>
      <c r="G191" s="2" t="s">
        <v>8</v>
      </c>
      <c r="H191" s="2" t="s">
        <v>9</v>
      </c>
      <c r="I191" s="74" t="s">
        <v>10</v>
      </c>
    </row>
    <row r="192" spans="1:9" ht="16.5" thickBot="1" x14ac:dyDescent="0.3">
      <c r="A192" s="75">
        <v>10</v>
      </c>
      <c r="B192" s="259" t="s">
        <v>41</v>
      </c>
      <c r="C192" s="259"/>
      <c r="D192" s="75"/>
      <c r="E192" s="75"/>
      <c r="F192" s="75">
        <v>17</v>
      </c>
      <c r="G192" s="75"/>
      <c r="H192" s="73">
        <v>-15</v>
      </c>
      <c r="I192" s="26" t="s">
        <v>92</v>
      </c>
    </row>
    <row r="193" spans="1:14" ht="15.75" x14ac:dyDescent="0.25">
      <c r="A193" s="6"/>
      <c r="B193" s="260"/>
      <c r="C193" s="261"/>
      <c r="D193" s="75"/>
      <c r="E193" s="75"/>
      <c r="F193" s="75"/>
      <c r="G193" s="75"/>
      <c r="H193" s="75">
        <f>27+38</f>
        <v>65</v>
      </c>
      <c r="I193" s="37" t="s">
        <v>89</v>
      </c>
    </row>
    <row r="194" spans="1:14" ht="15.75" x14ac:dyDescent="0.25">
      <c r="A194" s="6"/>
      <c r="B194" s="245"/>
      <c r="C194" s="247"/>
      <c r="D194" s="75"/>
      <c r="E194" s="75"/>
      <c r="F194" s="75"/>
      <c r="G194" s="75"/>
      <c r="H194" s="75">
        <v>19.5</v>
      </c>
      <c r="I194" s="7" t="s">
        <v>93</v>
      </c>
    </row>
    <row r="195" spans="1:14" ht="15.75" x14ac:dyDescent="0.25">
      <c r="A195" s="6"/>
      <c r="B195" s="245"/>
      <c r="C195" s="247"/>
      <c r="D195" s="75"/>
      <c r="E195" s="75"/>
      <c r="F195" s="75"/>
      <c r="G195" s="75"/>
      <c r="H195" s="75">
        <v>3.5</v>
      </c>
      <c r="I195" s="7" t="s">
        <v>90</v>
      </c>
    </row>
    <row r="196" spans="1:14" ht="15.75" x14ac:dyDescent="0.25">
      <c r="A196" s="6"/>
      <c r="B196" s="245"/>
      <c r="C196" s="247"/>
      <c r="D196" s="75"/>
      <c r="E196" s="75"/>
      <c r="F196" s="75"/>
      <c r="G196" s="75"/>
      <c r="H196" s="75">
        <v>35</v>
      </c>
      <c r="I196" s="7" t="s">
        <v>91</v>
      </c>
    </row>
    <row r="197" spans="1:14" ht="15.75" x14ac:dyDescent="0.25">
      <c r="A197" s="8"/>
      <c r="B197" s="250"/>
      <c r="C197" s="247"/>
      <c r="D197" s="75"/>
      <c r="E197" s="75"/>
      <c r="F197" s="75"/>
      <c r="G197" s="75"/>
      <c r="H197" s="75"/>
      <c r="I197" s="7"/>
    </row>
    <row r="198" spans="1:14" ht="15.75" x14ac:dyDescent="0.25">
      <c r="A198" s="6"/>
      <c r="B198" s="245"/>
      <c r="C198" s="247"/>
      <c r="D198" s="75"/>
      <c r="E198" s="75"/>
      <c r="F198" s="75"/>
      <c r="G198" s="75"/>
      <c r="H198" s="75"/>
      <c r="I198" s="9"/>
    </row>
    <row r="199" spans="1:14" ht="15.75" x14ac:dyDescent="0.25">
      <c r="A199" s="6"/>
      <c r="B199" s="245"/>
      <c r="C199" s="247"/>
      <c r="D199" s="75"/>
      <c r="E199" s="75"/>
      <c r="F199" s="75"/>
      <c r="G199" s="75"/>
      <c r="H199" s="75"/>
      <c r="I199" s="7"/>
    </row>
    <row r="200" spans="1:14" ht="15.75" x14ac:dyDescent="0.25">
      <c r="A200" s="6"/>
      <c r="B200" s="245"/>
      <c r="C200" s="247"/>
      <c r="D200" s="75"/>
      <c r="E200" s="75"/>
      <c r="F200" s="75"/>
      <c r="G200" s="75"/>
      <c r="H200" s="75"/>
      <c r="I200" s="7"/>
    </row>
    <row r="201" spans="1:14" ht="15.75" x14ac:dyDescent="0.25">
      <c r="A201" s="6"/>
      <c r="B201" s="245"/>
      <c r="C201" s="247"/>
      <c r="D201" s="75"/>
      <c r="E201" s="75"/>
      <c r="F201" s="75"/>
      <c r="G201" s="75"/>
      <c r="H201" s="75"/>
      <c r="I201" s="7"/>
    </row>
    <row r="202" spans="1:14" ht="15.75" x14ac:dyDescent="0.25">
      <c r="A202" s="6"/>
      <c r="B202" s="245"/>
      <c r="C202" s="247"/>
      <c r="D202" s="75"/>
      <c r="E202" s="75"/>
      <c r="F202" s="75"/>
      <c r="G202" s="75"/>
      <c r="H202" s="75"/>
      <c r="I202" s="9"/>
      <c r="N202">
        <f>+F19</f>
        <v>0</v>
      </c>
    </row>
    <row r="203" spans="1:14" ht="15.75" x14ac:dyDescent="0.25">
      <c r="A203" s="6"/>
      <c r="B203" s="245"/>
      <c r="C203" s="247"/>
      <c r="D203" s="75"/>
      <c r="E203" s="75"/>
      <c r="F203" s="75"/>
      <c r="G203" s="75"/>
      <c r="H203" s="75"/>
      <c r="I203" s="9"/>
    </row>
    <row r="204" spans="1:14" ht="15.75" x14ac:dyDescent="0.25">
      <c r="A204" s="6"/>
      <c r="B204" s="245"/>
      <c r="C204" s="247"/>
      <c r="D204" s="75"/>
      <c r="E204" s="75"/>
      <c r="F204" s="75"/>
      <c r="G204" s="75"/>
      <c r="H204" s="75"/>
      <c r="I204" s="9"/>
    </row>
    <row r="205" spans="1:14" ht="15.75" x14ac:dyDescent="0.25">
      <c r="A205" s="6"/>
      <c r="B205" s="245"/>
      <c r="C205" s="247"/>
      <c r="D205" s="75"/>
      <c r="E205" s="75"/>
      <c r="F205" s="75"/>
      <c r="G205" s="75"/>
      <c r="H205" s="75"/>
      <c r="I205" s="9"/>
    </row>
    <row r="206" spans="1:14" ht="15.75" x14ac:dyDescent="0.25">
      <c r="A206" s="6"/>
      <c r="B206" s="245"/>
      <c r="C206" s="247"/>
      <c r="D206" s="75"/>
      <c r="E206" s="75"/>
      <c r="F206" s="75"/>
      <c r="G206" s="75"/>
      <c r="H206" s="75"/>
      <c r="I206" s="9"/>
    </row>
    <row r="207" spans="1:14" ht="15.75" x14ac:dyDescent="0.25">
      <c r="A207" s="6"/>
      <c r="B207" s="245"/>
      <c r="C207" s="247"/>
      <c r="D207" s="75"/>
      <c r="E207" s="75"/>
      <c r="F207" s="75"/>
      <c r="G207" s="75"/>
      <c r="H207" s="75"/>
      <c r="I207" s="9"/>
    </row>
    <row r="208" spans="1:14" ht="15.75" x14ac:dyDescent="0.25">
      <c r="A208" s="6"/>
      <c r="B208" s="245"/>
      <c r="C208" s="247"/>
      <c r="D208" s="75"/>
      <c r="E208" s="75"/>
      <c r="F208" s="75"/>
      <c r="G208" s="75"/>
      <c r="H208" s="75"/>
      <c r="I208" s="9"/>
    </row>
    <row r="209" spans="1:9" ht="15.75" x14ac:dyDescent="0.25">
      <c r="A209" s="6"/>
      <c r="B209" s="245"/>
      <c r="C209" s="247"/>
      <c r="D209" s="75"/>
      <c r="E209" s="75"/>
      <c r="F209" s="75"/>
      <c r="G209" s="75"/>
      <c r="H209" s="75"/>
      <c r="I209" s="9"/>
    </row>
    <row r="210" spans="1:9" ht="15.75" x14ac:dyDescent="0.25">
      <c r="A210" s="6"/>
      <c r="B210" s="245"/>
      <c r="C210" s="247"/>
      <c r="D210" s="75"/>
      <c r="E210" s="75"/>
      <c r="F210" s="75"/>
      <c r="G210" s="75"/>
      <c r="H210" s="75"/>
      <c r="I210" s="9"/>
    </row>
    <row r="211" spans="1:9" ht="18.75" x14ac:dyDescent="0.3">
      <c r="A211" s="6"/>
      <c r="B211" s="245"/>
      <c r="C211" s="247"/>
      <c r="D211" s="5"/>
      <c r="E211" s="5"/>
      <c r="F211" s="5"/>
      <c r="G211" s="10"/>
      <c r="H211" s="5"/>
      <c r="I211" s="11"/>
    </row>
    <row r="212" spans="1:9" ht="18.75" x14ac:dyDescent="0.3">
      <c r="A212" s="12"/>
      <c r="B212" s="245"/>
      <c r="C212" s="247"/>
      <c r="D212" s="13"/>
      <c r="E212" s="13"/>
      <c r="F212" s="13"/>
      <c r="G212" s="14"/>
      <c r="H212" s="13"/>
      <c r="I212" s="15"/>
    </row>
    <row r="213" spans="1:9" ht="18.75" x14ac:dyDescent="0.3">
      <c r="A213" s="12"/>
      <c r="B213" s="245"/>
      <c r="C213" s="247"/>
      <c r="D213" s="13"/>
      <c r="E213" s="13"/>
      <c r="F213" s="13"/>
      <c r="G213" s="14"/>
      <c r="H213" s="13"/>
      <c r="I213" s="15"/>
    </row>
    <row r="214" spans="1:9" ht="19.5" thickBot="1" x14ac:dyDescent="0.35">
      <c r="A214" s="12"/>
      <c r="B214" s="248"/>
      <c r="C214" s="249"/>
      <c r="D214" s="16"/>
      <c r="E214" s="16"/>
      <c r="F214" s="16"/>
      <c r="G214" s="14"/>
      <c r="H214" s="16"/>
      <c r="I214" s="15"/>
    </row>
    <row r="215" spans="1:9" ht="16.5" thickBot="1" x14ac:dyDescent="0.3">
      <c r="A215" s="17">
        <f>SUM(A192:A214)</f>
        <v>10</v>
      </c>
      <c r="B215" s="241"/>
      <c r="C215" s="242"/>
      <c r="D215" s="18">
        <f>SUM(D192:D214)</f>
        <v>0</v>
      </c>
      <c r="E215" s="19">
        <f>SUM(E192:E214)</f>
        <v>0</v>
      </c>
      <c r="F215" s="20">
        <f>SUM(F192:F214)</f>
        <v>17</v>
      </c>
      <c r="G215" s="21">
        <f>SUM(G192:G214)</f>
        <v>0</v>
      </c>
      <c r="H215" s="22">
        <f>SUM(H192:H214)</f>
        <v>108</v>
      </c>
      <c r="I215" s="71"/>
    </row>
    <row r="216" spans="1:9" ht="16.5" thickBot="1" x14ac:dyDescent="0.3">
      <c r="A216" s="17"/>
      <c r="B216" s="243">
        <f>H215-A215</f>
        <v>98</v>
      </c>
      <c r="C216" s="244"/>
      <c r="D216" s="72" t="s">
        <v>11</v>
      </c>
      <c r="E216" s="245">
        <f>H215+G215+F215+E215+D215</f>
        <v>125</v>
      </c>
      <c r="F216" s="246"/>
      <c r="G216" s="246"/>
      <c r="H216" s="247"/>
      <c r="I216" s="71" t="s">
        <v>12</v>
      </c>
    </row>
    <row r="235" spans="1:9" ht="15.75" thickBot="1" x14ac:dyDescent="0.3"/>
    <row r="236" spans="1:9" ht="23.25" thickBot="1" x14ac:dyDescent="0.35">
      <c r="A236" s="251" t="s">
        <v>94</v>
      </c>
      <c r="B236" s="252"/>
      <c r="C236" s="252"/>
      <c r="D236" s="252"/>
      <c r="E236" s="252"/>
      <c r="F236" s="252"/>
      <c r="G236" s="252"/>
      <c r="H236" s="252"/>
      <c r="I236" s="253"/>
    </row>
    <row r="237" spans="1:9" ht="19.5" thickBot="1" x14ac:dyDescent="0.35">
      <c r="A237" s="254" t="s">
        <v>1</v>
      </c>
      <c r="B237" s="255"/>
      <c r="C237" s="255"/>
      <c r="D237" s="254" t="s">
        <v>2</v>
      </c>
      <c r="E237" s="255"/>
      <c r="F237" s="255"/>
      <c r="G237" s="255"/>
      <c r="H237" s="255"/>
      <c r="I237" s="256"/>
    </row>
    <row r="238" spans="1:9" ht="19.5" thickBot="1" x14ac:dyDescent="0.35">
      <c r="A238" s="1" t="s">
        <v>3</v>
      </c>
      <c r="B238" s="257" t="s">
        <v>4</v>
      </c>
      <c r="C238" s="258"/>
      <c r="D238" s="2" t="s">
        <v>5</v>
      </c>
      <c r="E238" s="2" t="s">
        <v>6</v>
      </c>
      <c r="F238" s="2" t="s">
        <v>7</v>
      </c>
      <c r="G238" s="2" t="s">
        <v>8</v>
      </c>
      <c r="H238" s="2" t="s">
        <v>9</v>
      </c>
      <c r="I238" s="79" t="s">
        <v>10</v>
      </c>
    </row>
    <row r="239" spans="1:9" ht="16.5" thickBot="1" x14ac:dyDescent="0.3">
      <c r="A239" s="80">
        <v>8</v>
      </c>
      <c r="B239" s="259" t="s">
        <v>97</v>
      </c>
      <c r="C239" s="259"/>
      <c r="D239" s="80"/>
      <c r="E239" s="80"/>
      <c r="F239" s="81"/>
      <c r="G239" s="80"/>
      <c r="H239" s="76">
        <v>680</v>
      </c>
      <c r="I239" s="26" t="s">
        <v>95</v>
      </c>
    </row>
    <row r="240" spans="1:9" ht="15.75" x14ac:dyDescent="0.25">
      <c r="A240" s="6">
        <v>75</v>
      </c>
      <c r="B240" s="260" t="s">
        <v>100</v>
      </c>
      <c r="C240" s="261"/>
      <c r="D240" s="80"/>
      <c r="E240" s="80"/>
      <c r="F240" s="80"/>
      <c r="G240" s="80"/>
      <c r="H240" s="80">
        <v>455</v>
      </c>
      <c r="I240" s="37" t="s">
        <v>96</v>
      </c>
    </row>
    <row r="241" spans="1:9" ht="15.75" x14ac:dyDescent="0.25">
      <c r="A241" s="6"/>
      <c r="B241" s="245"/>
      <c r="C241" s="247"/>
      <c r="D241" s="80"/>
      <c r="E241" s="80"/>
      <c r="F241" s="80"/>
      <c r="G241" s="80"/>
      <c r="H241" s="80">
        <v>30</v>
      </c>
      <c r="I241" s="7" t="s">
        <v>98</v>
      </c>
    </row>
    <row r="242" spans="1:9" ht="15.75" x14ac:dyDescent="0.25">
      <c r="A242" s="6"/>
      <c r="B242" s="245"/>
      <c r="C242" s="247"/>
      <c r="D242" s="80"/>
      <c r="E242" s="80"/>
      <c r="F242" s="80"/>
      <c r="G242" s="80"/>
      <c r="H242" s="80">
        <v>25</v>
      </c>
      <c r="I242" s="7" t="s">
        <v>99</v>
      </c>
    </row>
    <row r="243" spans="1:9" ht="15.75" x14ac:dyDescent="0.25">
      <c r="A243" s="6"/>
      <c r="B243" s="245"/>
      <c r="C243" s="247"/>
      <c r="D243" s="80"/>
      <c r="E243" s="80"/>
      <c r="F243" s="80"/>
      <c r="G243" s="80"/>
      <c r="H243" s="80"/>
      <c r="I243" s="7"/>
    </row>
    <row r="244" spans="1:9" ht="15.75" x14ac:dyDescent="0.25">
      <c r="A244" s="8"/>
      <c r="B244" s="250"/>
      <c r="C244" s="247"/>
      <c r="D244" s="80"/>
      <c r="E244" s="80"/>
      <c r="F244" s="80"/>
      <c r="G244" s="80"/>
      <c r="H244" s="80"/>
      <c r="I244" s="7"/>
    </row>
    <row r="245" spans="1:9" ht="15.75" x14ac:dyDescent="0.25">
      <c r="A245" s="6"/>
      <c r="B245" s="245"/>
      <c r="C245" s="247"/>
      <c r="D245" s="80"/>
      <c r="E245" s="80"/>
      <c r="F245" s="80"/>
      <c r="G245" s="80"/>
      <c r="H245" s="80"/>
      <c r="I245" s="9"/>
    </row>
    <row r="246" spans="1:9" ht="15.75" x14ac:dyDescent="0.25">
      <c r="A246" s="6"/>
      <c r="B246" s="245"/>
      <c r="C246" s="247"/>
      <c r="D246" s="80"/>
      <c r="E246" s="80"/>
      <c r="F246" s="80"/>
      <c r="G246" s="80"/>
      <c r="H246" s="80"/>
      <c r="I246" s="7"/>
    </row>
    <row r="247" spans="1:9" ht="15.75" x14ac:dyDescent="0.25">
      <c r="A247" s="6"/>
      <c r="B247" s="245"/>
      <c r="C247" s="247"/>
      <c r="D247" s="80"/>
      <c r="E247" s="80"/>
      <c r="F247" s="80"/>
      <c r="G247" s="80"/>
      <c r="H247" s="80"/>
      <c r="I247" s="7"/>
    </row>
    <row r="248" spans="1:9" ht="15.75" x14ac:dyDescent="0.25">
      <c r="A248" s="6"/>
      <c r="B248" s="245"/>
      <c r="C248" s="247"/>
      <c r="D248" s="80"/>
      <c r="E248" s="80"/>
      <c r="F248" s="80"/>
      <c r="G248" s="80"/>
      <c r="H248" s="80"/>
      <c r="I248" s="7"/>
    </row>
    <row r="249" spans="1:9" ht="15.75" x14ac:dyDescent="0.25">
      <c r="A249" s="6"/>
      <c r="B249" s="245"/>
      <c r="C249" s="247"/>
      <c r="D249" s="80"/>
      <c r="E249" s="80"/>
      <c r="F249" s="80"/>
      <c r="G249" s="80"/>
      <c r="H249" s="80"/>
      <c r="I249" s="9"/>
    </row>
    <row r="250" spans="1:9" ht="15.75" x14ac:dyDescent="0.25">
      <c r="A250" s="6"/>
      <c r="B250" s="245"/>
      <c r="C250" s="247"/>
      <c r="D250" s="80"/>
      <c r="E250" s="80"/>
      <c r="F250" s="80"/>
      <c r="G250" s="80"/>
      <c r="H250" s="80"/>
      <c r="I250" s="9"/>
    </row>
    <row r="251" spans="1:9" ht="15.75" x14ac:dyDescent="0.25">
      <c r="A251" s="6"/>
      <c r="B251" s="245"/>
      <c r="C251" s="247"/>
      <c r="D251" s="80"/>
      <c r="E251" s="80"/>
      <c r="F251" s="80"/>
      <c r="G251" s="80"/>
      <c r="H251" s="80"/>
      <c r="I251" s="9"/>
    </row>
    <row r="252" spans="1:9" ht="15.75" x14ac:dyDescent="0.25">
      <c r="A252" s="6"/>
      <c r="B252" s="245"/>
      <c r="C252" s="247"/>
      <c r="D252" s="80"/>
      <c r="E252" s="80"/>
      <c r="F252" s="80"/>
      <c r="G252" s="80"/>
      <c r="H252" s="80"/>
      <c r="I252" s="9"/>
    </row>
    <row r="253" spans="1:9" ht="15.75" x14ac:dyDescent="0.25">
      <c r="A253" s="6"/>
      <c r="B253" s="245"/>
      <c r="C253" s="247"/>
      <c r="D253" s="80"/>
      <c r="E253" s="80"/>
      <c r="F253" s="80"/>
      <c r="G253" s="80"/>
      <c r="H253" s="80"/>
      <c r="I253" s="9"/>
    </row>
    <row r="254" spans="1:9" ht="15.75" x14ac:dyDescent="0.25">
      <c r="A254" s="6"/>
      <c r="B254" s="245"/>
      <c r="C254" s="247"/>
      <c r="D254" s="80"/>
      <c r="E254" s="80"/>
      <c r="F254" s="80"/>
      <c r="G254" s="80"/>
      <c r="H254" s="80"/>
      <c r="I254" s="9"/>
    </row>
    <row r="255" spans="1:9" ht="15.75" x14ac:dyDescent="0.25">
      <c r="A255" s="6"/>
      <c r="B255" s="245"/>
      <c r="C255" s="247"/>
      <c r="D255" s="80"/>
      <c r="E255" s="80"/>
      <c r="F255" s="80"/>
      <c r="G255" s="80"/>
      <c r="H255" s="80"/>
      <c r="I255" s="9"/>
    </row>
    <row r="256" spans="1:9" ht="15.75" x14ac:dyDescent="0.25">
      <c r="A256" s="6"/>
      <c r="B256" s="245"/>
      <c r="C256" s="247"/>
      <c r="D256" s="80"/>
      <c r="E256" s="80"/>
      <c r="F256" s="80"/>
      <c r="G256" s="80"/>
      <c r="H256" s="80"/>
      <c r="I256" s="9"/>
    </row>
    <row r="257" spans="1:9" ht="15.75" x14ac:dyDescent="0.25">
      <c r="A257" s="6"/>
      <c r="B257" s="245"/>
      <c r="C257" s="247"/>
      <c r="D257" s="80"/>
      <c r="E257" s="80"/>
      <c r="F257" s="80"/>
      <c r="G257" s="80"/>
      <c r="H257" s="80"/>
      <c r="I257" s="9"/>
    </row>
    <row r="258" spans="1:9" ht="18.75" x14ac:dyDescent="0.3">
      <c r="A258" s="6"/>
      <c r="B258" s="245"/>
      <c r="C258" s="247"/>
      <c r="D258" s="5"/>
      <c r="E258" s="5"/>
      <c r="F258" s="5"/>
      <c r="G258" s="10"/>
      <c r="H258" s="5"/>
      <c r="I258" s="11"/>
    </row>
    <row r="259" spans="1:9" ht="18.75" x14ac:dyDescent="0.3">
      <c r="A259" s="12"/>
      <c r="B259" s="245"/>
      <c r="C259" s="247"/>
      <c r="D259" s="13"/>
      <c r="E259" s="13"/>
      <c r="F259" s="13"/>
      <c r="G259" s="14"/>
      <c r="H259" s="13"/>
      <c r="I259" s="15"/>
    </row>
    <row r="260" spans="1:9" ht="18.75" x14ac:dyDescent="0.3">
      <c r="A260" s="12"/>
      <c r="B260" s="245"/>
      <c r="C260" s="247"/>
      <c r="D260" s="13"/>
      <c r="E260" s="13"/>
      <c r="F260" s="13"/>
      <c r="G260" s="14"/>
      <c r="H260" s="13"/>
      <c r="I260" s="15"/>
    </row>
    <row r="261" spans="1:9" ht="19.5" thickBot="1" x14ac:dyDescent="0.35">
      <c r="A261" s="12"/>
      <c r="B261" s="248"/>
      <c r="C261" s="249"/>
      <c r="D261" s="16"/>
      <c r="E261" s="16"/>
      <c r="F261" s="16"/>
      <c r="G261" s="14"/>
      <c r="H261" s="16"/>
      <c r="I261" s="15"/>
    </row>
    <row r="262" spans="1:9" ht="16.5" thickBot="1" x14ac:dyDescent="0.3">
      <c r="A262" s="17">
        <f>SUM(A239:A261)</f>
        <v>83</v>
      </c>
      <c r="B262" s="241"/>
      <c r="C262" s="242"/>
      <c r="D262" s="18">
        <f>SUM(D239:D261)</f>
        <v>0</v>
      </c>
      <c r="E262" s="19">
        <f>SUM(E239:E261)</f>
        <v>0</v>
      </c>
      <c r="F262" s="20">
        <f>SUM(F239:F261)</f>
        <v>0</v>
      </c>
      <c r="G262" s="21">
        <f>SUM(G239:G261)</f>
        <v>0</v>
      </c>
      <c r="H262" s="22">
        <f>SUM(H239:H261)</f>
        <v>1190</v>
      </c>
      <c r="I262" s="77"/>
    </row>
    <row r="263" spans="1:9" ht="16.5" thickBot="1" x14ac:dyDescent="0.3">
      <c r="A263" s="17"/>
      <c r="B263" s="243">
        <f>H262-A262</f>
        <v>1107</v>
      </c>
      <c r="C263" s="244"/>
      <c r="D263" s="78" t="s">
        <v>11</v>
      </c>
      <c r="E263" s="245">
        <f>H262+G262+F262+E262+D262</f>
        <v>1190</v>
      </c>
      <c r="F263" s="246"/>
      <c r="G263" s="246"/>
      <c r="H263" s="247"/>
      <c r="I263" s="77" t="s">
        <v>12</v>
      </c>
    </row>
    <row r="282" spans="1:11" ht="15.75" thickBot="1" x14ac:dyDescent="0.3"/>
    <row r="283" spans="1:11" ht="23.25" thickBot="1" x14ac:dyDescent="0.35">
      <c r="A283" s="251" t="s">
        <v>101</v>
      </c>
      <c r="B283" s="252"/>
      <c r="C283" s="252"/>
      <c r="D283" s="252"/>
      <c r="E283" s="252"/>
      <c r="F283" s="252"/>
      <c r="G283" s="252"/>
      <c r="H283" s="252"/>
      <c r="I283" s="253"/>
    </row>
    <row r="284" spans="1:11" ht="19.5" thickBot="1" x14ac:dyDescent="0.35">
      <c r="A284" s="254" t="s">
        <v>1</v>
      </c>
      <c r="B284" s="255"/>
      <c r="C284" s="255"/>
      <c r="D284" s="254" t="s">
        <v>2</v>
      </c>
      <c r="E284" s="255"/>
      <c r="F284" s="255"/>
      <c r="G284" s="255"/>
      <c r="H284" s="255"/>
      <c r="I284" s="256"/>
      <c r="K284">
        <v>0</v>
      </c>
    </row>
    <row r="285" spans="1:11" ht="19.5" thickBot="1" x14ac:dyDescent="0.35">
      <c r="A285" s="1" t="s">
        <v>3</v>
      </c>
      <c r="B285" s="257" t="s">
        <v>4</v>
      </c>
      <c r="C285" s="258"/>
      <c r="D285" s="2" t="s">
        <v>5</v>
      </c>
      <c r="E285" s="2" t="s">
        <v>6</v>
      </c>
      <c r="F285" s="2" t="s">
        <v>7</v>
      </c>
      <c r="G285" s="2" t="s">
        <v>8</v>
      </c>
      <c r="H285" s="2" t="s">
        <v>9</v>
      </c>
      <c r="I285" s="85" t="s">
        <v>10</v>
      </c>
    </row>
    <row r="286" spans="1:11" ht="16.5" thickBot="1" x14ac:dyDescent="0.3">
      <c r="A286" s="86">
        <v>10</v>
      </c>
      <c r="B286" s="259" t="s">
        <v>48</v>
      </c>
      <c r="C286" s="259"/>
      <c r="D286" s="86"/>
      <c r="E286" s="86"/>
      <c r="F286" s="84"/>
      <c r="G286" s="86"/>
      <c r="H286" s="84">
        <v>5</v>
      </c>
      <c r="I286" s="26" t="s">
        <v>102</v>
      </c>
    </row>
    <row r="287" spans="1:11" ht="15.75" x14ac:dyDescent="0.25">
      <c r="A287" s="6"/>
      <c r="B287" s="260"/>
      <c r="C287" s="261"/>
      <c r="D287" s="86"/>
      <c r="E287" s="86"/>
      <c r="F287" s="86"/>
      <c r="G287" s="86"/>
      <c r="H287" s="86">
        <v>11.6</v>
      </c>
      <c r="I287" s="37" t="s">
        <v>104</v>
      </c>
    </row>
    <row r="288" spans="1:11" ht="15.75" x14ac:dyDescent="0.25">
      <c r="A288" s="6"/>
      <c r="B288" s="245"/>
      <c r="C288" s="247"/>
      <c r="D288" s="86"/>
      <c r="E288" s="86"/>
      <c r="F288" s="86"/>
      <c r="G288" s="86"/>
      <c r="H288" s="86"/>
      <c r="I288" s="7"/>
    </row>
    <row r="289" spans="1:9" ht="15.75" x14ac:dyDescent="0.25">
      <c r="A289" s="6"/>
      <c r="B289" s="245"/>
      <c r="C289" s="247"/>
      <c r="D289" s="86"/>
      <c r="E289" s="86"/>
      <c r="F289" s="86"/>
      <c r="G289" s="86"/>
      <c r="H289" s="86"/>
      <c r="I289" s="7"/>
    </row>
    <row r="290" spans="1:9" ht="15.75" x14ac:dyDescent="0.25">
      <c r="A290" s="6"/>
      <c r="B290" s="245"/>
      <c r="C290" s="247"/>
      <c r="D290" s="86"/>
      <c r="E290" s="86"/>
      <c r="F290" s="86"/>
      <c r="G290" s="86"/>
      <c r="H290" s="86"/>
      <c r="I290" s="7"/>
    </row>
    <row r="291" spans="1:9" ht="15.75" x14ac:dyDescent="0.25">
      <c r="A291" s="8"/>
      <c r="B291" s="250"/>
      <c r="C291" s="247"/>
      <c r="D291" s="86"/>
      <c r="E291" s="86"/>
      <c r="F291" s="86"/>
      <c r="G291" s="86"/>
      <c r="H291" s="86"/>
      <c r="I291" s="7"/>
    </row>
    <row r="292" spans="1:9" ht="15.75" x14ac:dyDescent="0.25">
      <c r="A292" s="6"/>
      <c r="B292" s="245"/>
      <c r="C292" s="247"/>
      <c r="D292" s="86"/>
      <c r="E292" s="86"/>
      <c r="F292" s="86"/>
      <c r="G292" s="86"/>
      <c r="H292" s="86"/>
      <c r="I292" s="9"/>
    </row>
    <row r="293" spans="1:9" ht="15.75" x14ac:dyDescent="0.25">
      <c r="A293" s="6"/>
      <c r="B293" s="245"/>
      <c r="C293" s="247"/>
      <c r="D293" s="86"/>
      <c r="E293" s="86"/>
      <c r="F293" s="86"/>
      <c r="G293" s="86"/>
      <c r="H293" s="86"/>
      <c r="I293" s="7"/>
    </row>
    <row r="294" spans="1:9" ht="15.75" x14ac:dyDescent="0.25">
      <c r="A294" s="6"/>
      <c r="B294" s="245"/>
      <c r="C294" s="247"/>
      <c r="D294" s="86"/>
      <c r="E294" s="86"/>
      <c r="F294" s="86"/>
      <c r="G294" s="86"/>
      <c r="H294" s="86"/>
      <c r="I294" s="7"/>
    </row>
    <row r="295" spans="1:9" ht="15.75" x14ac:dyDescent="0.25">
      <c r="A295" s="6"/>
      <c r="B295" s="245"/>
      <c r="C295" s="247"/>
      <c r="D295" s="86"/>
      <c r="E295" s="86"/>
      <c r="F295" s="86"/>
      <c r="G295" s="86"/>
      <c r="H295" s="86"/>
      <c r="I295" s="7"/>
    </row>
    <row r="296" spans="1:9" ht="15.75" x14ac:dyDescent="0.25">
      <c r="A296" s="6"/>
      <c r="B296" s="245"/>
      <c r="C296" s="247"/>
      <c r="D296" s="86"/>
      <c r="E296" s="86"/>
      <c r="F296" s="86"/>
      <c r="G296" s="86"/>
      <c r="H296" s="86"/>
      <c r="I296" s="9"/>
    </row>
    <row r="297" spans="1:9" ht="15.75" x14ac:dyDescent="0.25">
      <c r="A297" s="6"/>
      <c r="B297" s="245"/>
      <c r="C297" s="247"/>
      <c r="D297" s="86"/>
      <c r="E297" s="86"/>
      <c r="F297" s="86"/>
      <c r="G297" s="86"/>
      <c r="H297" s="86"/>
      <c r="I297" s="9"/>
    </row>
    <row r="298" spans="1:9" ht="15.75" x14ac:dyDescent="0.25">
      <c r="A298" s="6"/>
      <c r="B298" s="245"/>
      <c r="C298" s="247"/>
      <c r="D298" s="86"/>
      <c r="E298" s="86"/>
      <c r="F298" s="86"/>
      <c r="G298" s="86"/>
      <c r="H298" s="86"/>
      <c r="I298" s="9"/>
    </row>
    <row r="299" spans="1:9" ht="15.75" x14ac:dyDescent="0.25">
      <c r="A299" s="6"/>
      <c r="B299" s="245"/>
      <c r="C299" s="247"/>
      <c r="D299" s="86"/>
      <c r="E299" s="86"/>
      <c r="F299" s="86"/>
      <c r="G299" s="86"/>
      <c r="H299" s="86"/>
      <c r="I299" s="9"/>
    </row>
    <row r="300" spans="1:9" ht="15.75" x14ac:dyDescent="0.25">
      <c r="A300" s="6"/>
      <c r="B300" s="245"/>
      <c r="C300" s="247"/>
      <c r="D300" s="86"/>
      <c r="E300" s="86"/>
      <c r="F300" s="86"/>
      <c r="G300" s="86"/>
      <c r="H300" s="86"/>
      <c r="I300" s="9"/>
    </row>
    <row r="301" spans="1:9" ht="15.75" x14ac:dyDescent="0.25">
      <c r="A301" s="6"/>
      <c r="B301" s="245"/>
      <c r="C301" s="247"/>
      <c r="D301" s="86"/>
      <c r="E301" s="86"/>
      <c r="F301" s="86"/>
      <c r="G301" s="86"/>
      <c r="H301" s="86"/>
      <c r="I301" s="9"/>
    </row>
    <row r="302" spans="1:9" ht="15.75" x14ac:dyDescent="0.25">
      <c r="A302" s="6"/>
      <c r="B302" s="245"/>
      <c r="C302" s="247"/>
      <c r="D302" s="86"/>
      <c r="E302" s="86"/>
      <c r="F302" s="86"/>
      <c r="G302" s="86"/>
      <c r="H302" s="86"/>
      <c r="I302" s="9"/>
    </row>
    <row r="303" spans="1:9" ht="15.75" x14ac:dyDescent="0.25">
      <c r="A303" s="6"/>
      <c r="B303" s="245"/>
      <c r="C303" s="247"/>
      <c r="D303" s="86"/>
      <c r="E303" s="86"/>
      <c r="F303" s="86"/>
      <c r="G303" s="86"/>
      <c r="H303" s="86"/>
      <c r="I303" s="9"/>
    </row>
    <row r="304" spans="1:9" ht="15.75" x14ac:dyDescent="0.25">
      <c r="A304" s="6"/>
      <c r="B304" s="245"/>
      <c r="C304" s="247"/>
      <c r="D304" s="86"/>
      <c r="E304" s="86"/>
      <c r="F304" s="86"/>
      <c r="G304" s="86"/>
      <c r="H304" s="86"/>
      <c r="I304" s="9"/>
    </row>
    <row r="305" spans="1:13" ht="18.75" x14ac:dyDescent="0.3">
      <c r="A305" s="6"/>
      <c r="B305" s="245"/>
      <c r="C305" s="247"/>
      <c r="D305" s="5"/>
      <c r="E305" s="5"/>
      <c r="F305" s="5"/>
      <c r="G305" s="10"/>
      <c r="H305" s="5"/>
      <c r="I305" s="11"/>
    </row>
    <row r="306" spans="1:13" ht="18.75" x14ac:dyDescent="0.3">
      <c r="A306" s="12"/>
      <c r="B306" s="245"/>
      <c r="C306" s="247"/>
      <c r="D306" s="13"/>
      <c r="E306" s="13"/>
      <c r="F306" s="13"/>
      <c r="G306" s="14"/>
      <c r="H306" s="13"/>
      <c r="I306" s="15"/>
    </row>
    <row r="307" spans="1:13" ht="18.75" x14ac:dyDescent="0.3">
      <c r="A307" s="12"/>
      <c r="B307" s="245"/>
      <c r="C307" s="247"/>
      <c r="D307" s="13"/>
      <c r="E307" s="13"/>
      <c r="F307" s="13"/>
      <c r="G307" s="14"/>
      <c r="H307" s="13"/>
      <c r="I307" s="15"/>
    </row>
    <row r="308" spans="1:13" ht="19.5" thickBot="1" x14ac:dyDescent="0.35">
      <c r="A308" s="12"/>
      <c r="B308" s="248"/>
      <c r="C308" s="249"/>
      <c r="D308" s="16"/>
      <c r="E308" s="16"/>
      <c r="F308" s="16"/>
      <c r="G308" s="14"/>
      <c r="H308" s="16"/>
      <c r="I308" s="15"/>
    </row>
    <row r="309" spans="1:13" ht="16.5" thickBot="1" x14ac:dyDescent="0.3">
      <c r="A309" s="17">
        <f>SUM(A286:A308)</f>
        <v>10</v>
      </c>
      <c r="B309" s="241"/>
      <c r="C309" s="242"/>
      <c r="D309" s="18">
        <f>SUM(D286:D308)</f>
        <v>0</v>
      </c>
      <c r="E309" s="19">
        <f>SUM(E286:E308)</f>
        <v>0</v>
      </c>
      <c r="F309" s="20">
        <f>SUM(F286:F308)</f>
        <v>0</v>
      </c>
      <c r="G309" s="21">
        <f>SUM(G286:G308)</f>
        <v>0</v>
      </c>
      <c r="H309" s="22">
        <f>SUM(H286:H308)</f>
        <v>16.600000000000001</v>
      </c>
      <c r="I309" s="82"/>
    </row>
    <row r="310" spans="1:13" ht="16.5" thickBot="1" x14ac:dyDescent="0.3">
      <c r="A310" s="17"/>
      <c r="B310" s="243">
        <f>H309-A309</f>
        <v>6.6000000000000014</v>
      </c>
      <c r="C310" s="244"/>
      <c r="D310" s="83" t="s">
        <v>11</v>
      </c>
      <c r="E310" s="245">
        <f>H309+G309+F309+E309+D309</f>
        <v>16.600000000000001</v>
      </c>
      <c r="F310" s="246"/>
      <c r="G310" s="246"/>
      <c r="H310" s="247"/>
      <c r="I310" s="82" t="s">
        <v>12</v>
      </c>
    </row>
    <row r="317" spans="1:13" x14ac:dyDescent="0.25">
      <c r="M317" t="s">
        <v>107</v>
      </c>
    </row>
    <row r="329" spans="1:9" ht="15.75" thickBot="1" x14ac:dyDescent="0.3"/>
    <row r="330" spans="1:9" ht="23.25" thickBot="1" x14ac:dyDescent="0.35">
      <c r="A330" s="251" t="s">
        <v>103</v>
      </c>
      <c r="B330" s="252"/>
      <c r="C330" s="252"/>
      <c r="D330" s="252"/>
      <c r="E330" s="252"/>
      <c r="F330" s="252"/>
      <c r="G330" s="252"/>
      <c r="H330" s="252"/>
      <c r="I330" s="253"/>
    </row>
    <row r="331" spans="1:9" ht="19.5" thickBot="1" x14ac:dyDescent="0.35">
      <c r="A331" s="254" t="s">
        <v>1</v>
      </c>
      <c r="B331" s="255"/>
      <c r="C331" s="255"/>
      <c r="D331" s="254" t="s">
        <v>2</v>
      </c>
      <c r="E331" s="255"/>
      <c r="F331" s="255"/>
      <c r="G331" s="255"/>
      <c r="H331" s="255"/>
      <c r="I331" s="256"/>
    </row>
    <row r="332" spans="1:9" ht="19.5" thickBot="1" x14ac:dyDescent="0.35">
      <c r="A332" s="1" t="s">
        <v>3</v>
      </c>
      <c r="B332" s="257" t="s">
        <v>4</v>
      </c>
      <c r="C332" s="258"/>
      <c r="D332" s="2" t="s">
        <v>5</v>
      </c>
      <c r="E332" s="2" t="s">
        <v>6</v>
      </c>
      <c r="F332" s="2" t="s">
        <v>7</v>
      </c>
      <c r="G332" s="2" t="s">
        <v>8</v>
      </c>
      <c r="H332" s="2" t="s">
        <v>9</v>
      </c>
      <c r="I332" s="90" t="s">
        <v>10</v>
      </c>
    </row>
    <row r="333" spans="1:9" ht="16.5" thickBot="1" x14ac:dyDescent="0.3">
      <c r="A333" s="91"/>
      <c r="B333" s="259"/>
      <c r="C333" s="259"/>
      <c r="D333" s="91"/>
      <c r="E333" s="91"/>
      <c r="F333" s="87"/>
      <c r="G333" s="91"/>
      <c r="H333" s="87">
        <v>15</v>
      </c>
      <c r="I333" s="26" t="s">
        <v>105</v>
      </c>
    </row>
    <row r="334" spans="1:9" ht="15.75" x14ac:dyDescent="0.25">
      <c r="A334" s="6"/>
      <c r="B334" s="260"/>
      <c r="C334" s="261"/>
      <c r="D334" s="91"/>
      <c r="E334" s="91"/>
      <c r="F334" s="91"/>
      <c r="G334" s="91"/>
      <c r="H334" s="91">
        <v>450</v>
      </c>
      <c r="I334" s="37" t="s">
        <v>106</v>
      </c>
    </row>
    <row r="335" spans="1:9" ht="15.75" x14ac:dyDescent="0.25">
      <c r="A335" s="6"/>
      <c r="B335" s="245"/>
      <c r="C335" s="247"/>
      <c r="D335" s="91"/>
      <c r="E335" s="91"/>
      <c r="F335" s="91"/>
      <c r="G335" s="91"/>
      <c r="H335" s="91"/>
      <c r="I335" s="7"/>
    </row>
    <row r="336" spans="1:9" ht="15.75" x14ac:dyDescent="0.25">
      <c r="A336" s="6"/>
      <c r="B336" s="245"/>
      <c r="C336" s="247"/>
      <c r="D336" s="91"/>
      <c r="E336" s="91"/>
      <c r="F336" s="91"/>
      <c r="G336" s="91"/>
      <c r="H336" s="91"/>
      <c r="I336" s="7"/>
    </row>
    <row r="337" spans="1:9" ht="15.75" x14ac:dyDescent="0.25">
      <c r="A337" s="6"/>
      <c r="B337" s="245"/>
      <c r="C337" s="247"/>
      <c r="D337" s="91"/>
      <c r="E337" s="91"/>
      <c r="F337" s="91"/>
      <c r="G337" s="91"/>
      <c r="H337" s="91"/>
      <c r="I337" s="7"/>
    </row>
    <row r="338" spans="1:9" ht="15.75" x14ac:dyDescent="0.25">
      <c r="A338" s="8"/>
      <c r="B338" s="250"/>
      <c r="C338" s="247"/>
      <c r="D338" s="91"/>
      <c r="E338" s="91"/>
      <c r="F338" s="91"/>
      <c r="G338" s="91"/>
      <c r="H338" s="91"/>
      <c r="I338" s="7"/>
    </row>
    <row r="339" spans="1:9" ht="15.75" x14ac:dyDescent="0.25">
      <c r="A339" s="6"/>
      <c r="B339" s="245"/>
      <c r="C339" s="247"/>
      <c r="D339" s="91"/>
      <c r="E339" s="91"/>
      <c r="F339" s="91"/>
      <c r="G339" s="91"/>
      <c r="H339" s="91"/>
      <c r="I339" s="9"/>
    </row>
    <row r="340" spans="1:9" ht="15.75" x14ac:dyDescent="0.25">
      <c r="A340" s="6"/>
      <c r="B340" s="245"/>
      <c r="C340" s="247"/>
      <c r="D340" s="91"/>
      <c r="E340" s="91"/>
      <c r="F340" s="91"/>
      <c r="G340" s="91"/>
      <c r="H340" s="91"/>
      <c r="I340" s="7"/>
    </row>
    <row r="341" spans="1:9" ht="15.75" x14ac:dyDescent="0.25">
      <c r="A341" s="6"/>
      <c r="B341" s="245"/>
      <c r="C341" s="247"/>
      <c r="D341" s="91"/>
      <c r="E341" s="91"/>
      <c r="F341" s="91"/>
      <c r="G341" s="91"/>
      <c r="H341" s="91"/>
      <c r="I341" s="7"/>
    </row>
    <row r="342" spans="1:9" ht="15.75" x14ac:dyDescent="0.25">
      <c r="A342" s="6"/>
      <c r="B342" s="245"/>
      <c r="C342" s="247"/>
      <c r="D342" s="91"/>
      <c r="E342" s="91"/>
      <c r="F342" s="91"/>
      <c r="G342" s="91"/>
      <c r="H342" s="91"/>
      <c r="I342" s="7"/>
    </row>
    <row r="343" spans="1:9" ht="15.75" x14ac:dyDescent="0.25">
      <c r="A343" s="6"/>
      <c r="B343" s="245"/>
      <c r="C343" s="247"/>
      <c r="D343" s="91"/>
      <c r="E343" s="91"/>
      <c r="F343" s="91"/>
      <c r="G343" s="91"/>
      <c r="H343" s="91"/>
      <c r="I343" s="9"/>
    </row>
    <row r="344" spans="1:9" ht="15.75" x14ac:dyDescent="0.25">
      <c r="A344" s="6"/>
      <c r="B344" s="245"/>
      <c r="C344" s="247"/>
      <c r="D344" s="91"/>
      <c r="E344" s="91"/>
      <c r="F344" s="91"/>
      <c r="G344" s="91"/>
      <c r="H344" s="91"/>
      <c r="I344" s="9"/>
    </row>
    <row r="345" spans="1:9" ht="15.75" x14ac:dyDescent="0.25">
      <c r="A345" s="6"/>
      <c r="B345" s="245"/>
      <c r="C345" s="247"/>
      <c r="D345" s="91"/>
      <c r="E345" s="91"/>
      <c r="F345" s="91"/>
      <c r="G345" s="91"/>
      <c r="H345" s="91"/>
      <c r="I345" s="9"/>
    </row>
    <row r="346" spans="1:9" ht="15.75" x14ac:dyDescent="0.25">
      <c r="A346" s="6"/>
      <c r="B346" s="245"/>
      <c r="C346" s="247"/>
      <c r="D346" s="91"/>
      <c r="E346" s="91"/>
      <c r="F346" s="91"/>
      <c r="G346" s="91"/>
      <c r="H346" s="91"/>
      <c r="I346" s="9"/>
    </row>
    <row r="347" spans="1:9" ht="15.75" x14ac:dyDescent="0.25">
      <c r="A347" s="6"/>
      <c r="B347" s="245"/>
      <c r="C347" s="247"/>
      <c r="D347" s="91"/>
      <c r="E347" s="91"/>
      <c r="F347" s="91"/>
      <c r="G347" s="91"/>
      <c r="H347" s="91"/>
      <c r="I347" s="9"/>
    </row>
    <row r="348" spans="1:9" ht="15.75" x14ac:dyDescent="0.25">
      <c r="A348" s="6"/>
      <c r="B348" s="245"/>
      <c r="C348" s="247"/>
      <c r="D348" s="91"/>
      <c r="E348" s="91"/>
      <c r="F348" s="91"/>
      <c r="G348" s="91"/>
      <c r="H348" s="91"/>
      <c r="I348" s="9"/>
    </row>
    <row r="349" spans="1:9" ht="15.75" x14ac:dyDescent="0.25">
      <c r="A349" s="6"/>
      <c r="B349" s="245"/>
      <c r="C349" s="247"/>
      <c r="D349" s="91"/>
      <c r="E349" s="91"/>
      <c r="F349" s="91"/>
      <c r="G349" s="91"/>
      <c r="H349" s="91"/>
      <c r="I349" s="9"/>
    </row>
    <row r="350" spans="1:9" ht="15.75" x14ac:dyDescent="0.25">
      <c r="A350" s="6"/>
      <c r="B350" s="245"/>
      <c r="C350" s="247"/>
      <c r="D350" s="91"/>
      <c r="E350" s="91"/>
      <c r="F350" s="91"/>
      <c r="G350" s="91"/>
      <c r="H350" s="91"/>
      <c r="I350" s="9"/>
    </row>
    <row r="351" spans="1:9" ht="15.75" x14ac:dyDescent="0.25">
      <c r="A351" s="6"/>
      <c r="B351" s="245"/>
      <c r="C351" s="247"/>
      <c r="D351" s="91"/>
      <c r="E351" s="91"/>
      <c r="F351" s="91"/>
      <c r="G351" s="91"/>
      <c r="H351" s="91"/>
      <c r="I351" s="9"/>
    </row>
    <row r="352" spans="1:9" ht="18.75" x14ac:dyDescent="0.3">
      <c r="A352" s="6"/>
      <c r="B352" s="245"/>
      <c r="C352" s="247"/>
      <c r="D352" s="5"/>
      <c r="E352" s="5"/>
      <c r="F352" s="5"/>
      <c r="G352" s="10"/>
      <c r="H352" s="5"/>
      <c r="I352" s="11"/>
    </row>
    <row r="353" spans="1:9" ht="18.75" x14ac:dyDescent="0.3">
      <c r="A353" s="12"/>
      <c r="B353" s="245"/>
      <c r="C353" s="247"/>
      <c r="D353" s="13"/>
      <c r="E353" s="13"/>
      <c r="F353" s="13"/>
      <c r="G353" s="14"/>
      <c r="H353" s="13"/>
      <c r="I353" s="15"/>
    </row>
    <row r="354" spans="1:9" ht="18.75" x14ac:dyDescent="0.3">
      <c r="A354" s="12"/>
      <c r="B354" s="245"/>
      <c r="C354" s="247"/>
      <c r="D354" s="13"/>
      <c r="E354" s="13"/>
      <c r="F354" s="13"/>
      <c r="G354" s="14"/>
      <c r="H354" s="13"/>
      <c r="I354" s="15"/>
    </row>
    <row r="355" spans="1:9" ht="19.5" thickBot="1" x14ac:dyDescent="0.35">
      <c r="A355" s="12"/>
      <c r="B355" s="248"/>
      <c r="C355" s="249"/>
      <c r="D355" s="16"/>
      <c r="E355" s="16"/>
      <c r="F355" s="16"/>
      <c r="G355" s="14"/>
      <c r="H355" s="16"/>
      <c r="I355" s="15"/>
    </row>
    <row r="356" spans="1:9" ht="16.5" thickBot="1" x14ac:dyDescent="0.3">
      <c r="A356" s="17">
        <f>SUM(A333:A355)</f>
        <v>0</v>
      </c>
      <c r="B356" s="241"/>
      <c r="C356" s="242"/>
      <c r="D356" s="18">
        <f>SUM(D333:D355)</f>
        <v>0</v>
      </c>
      <c r="E356" s="19">
        <f>SUM(E333:E355)</f>
        <v>0</v>
      </c>
      <c r="F356" s="20">
        <f>SUM(F333:F355)</f>
        <v>0</v>
      </c>
      <c r="G356" s="21">
        <f>SUM(G333:G355)</f>
        <v>0</v>
      </c>
      <c r="H356" s="22">
        <f>SUM(H333:H355)</f>
        <v>465</v>
      </c>
      <c r="I356" s="88"/>
    </row>
    <row r="357" spans="1:9" ht="16.5" thickBot="1" x14ac:dyDescent="0.3">
      <c r="A357" s="17"/>
      <c r="B357" s="243">
        <f>H356-A356</f>
        <v>465</v>
      </c>
      <c r="C357" s="244"/>
      <c r="D357" s="89" t="s">
        <v>11</v>
      </c>
      <c r="E357" s="245">
        <f>H356+G356+F356+E356+D356</f>
        <v>465</v>
      </c>
      <c r="F357" s="246"/>
      <c r="G357" s="246"/>
      <c r="H357" s="247"/>
      <c r="I357" s="88" t="s">
        <v>12</v>
      </c>
    </row>
    <row r="376" spans="1:9" ht="15.75" thickBot="1" x14ac:dyDescent="0.3"/>
    <row r="377" spans="1:9" ht="23.25" thickBot="1" x14ac:dyDescent="0.35">
      <c r="A377" s="251" t="s">
        <v>108</v>
      </c>
      <c r="B377" s="252"/>
      <c r="C377" s="252"/>
      <c r="D377" s="252"/>
      <c r="E377" s="252"/>
      <c r="F377" s="252"/>
      <c r="G377" s="252"/>
      <c r="H377" s="252"/>
      <c r="I377" s="253"/>
    </row>
    <row r="378" spans="1:9" ht="19.5" thickBot="1" x14ac:dyDescent="0.35">
      <c r="A378" s="254" t="s">
        <v>1</v>
      </c>
      <c r="B378" s="255"/>
      <c r="C378" s="255"/>
      <c r="D378" s="254" t="s">
        <v>2</v>
      </c>
      <c r="E378" s="255"/>
      <c r="F378" s="255"/>
      <c r="G378" s="255"/>
      <c r="H378" s="255"/>
      <c r="I378" s="256"/>
    </row>
    <row r="379" spans="1:9" ht="19.5" thickBot="1" x14ac:dyDescent="0.35">
      <c r="A379" s="1" t="s">
        <v>3</v>
      </c>
      <c r="B379" s="257" t="s">
        <v>4</v>
      </c>
      <c r="C379" s="258"/>
      <c r="D379" s="2" t="s">
        <v>5</v>
      </c>
      <c r="E379" s="2" t="s">
        <v>6</v>
      </c>
      <c r="F379" s="2" t="s">
        <v>7</v>
      </c>
      <c r="G379" s="2" t="s">
        <v>8</v>
      </c>
      <c r="H379" s="2" t="s">
        <v>9</v>
      </c>
      <c r="I379" s="95" t="s">
        <v>10</v>
      </c>
    </row>
    <row r="380" spans="1:9" ht="16.5" thickBot="1" x14ac:dyDescent="0.3">
      <c r="A380" s="96">
        <v>75</v>
      </c>
      <c r="B380" s="259" t="s">
        <v>113</v>
      </c>
      <c r="C380" s="259"/>
      <c r="D380" s="96"/>
      <c r="E380" s="96"/>
      <c r="F380" s="94"/>
      <c r="G380" s="96"/>
      <c r="H380" s="94">
        <v>536</v>
      </c>
      <c r="I380" s="26" t="s">
        <v>112</v>
      </c>
    </row>
    <row r="381" spans="1:9" ht="16.5" thickBot="1" x14ac:dyDescent="0.3">
      <c r="A381" s="6">
        <v>73</v>
      </c>
      <c r="B381" s="260" t="s">
        <v>114</v>
      </c>
      <c r="C381" s="261"/>
      <c r="D381" s="103"/>
      <c r="E381" s="103"/>
      <c r="F381" s="102"/>
      <c r="G381" s="103"/>
      <c r="H381" s="102"/>
      <c r="I381" s="26" t="s">
        <v>109</v>
      </c>
    </row>
    <row r="382" spans="1:9" ht="15.75" x14ac:dyDescent="0.25">
      <c r="A382" s="6">
        <v>25</v>
      </c>
      <c r="B382" s="245" t="s">
        <v>115</v>
      </c>
      <c r="C382" s="247"/>
      <c r="D382" s="103">
        <v>50</v>
      </c>
      <c r="E382" s="103"/>
      <c r="F382" s="103">
        <v>60</v>
      </c>
      <c r="G382" s="103"/>
      <c r="H382" s="103">
        <v>140</v>
      </c>
      <c r="I382" s="37" t="s">
        <v>110</v>
      </c>
    </row>
    <row r="383" spans="1:9" ht="15.75" x14ac:dyDescent="0.25">
      <c r="A383" s="6"/>
      <c r="B383" s="245"/>
      <c r="C383" s="247"/>
      <c r="D383" s="96"/>
      <c r="E383" s="96"/>
      <c r="F383" s="96"/>
      <c r="G383" s="96"/>
      <c r="H383" s="96"/>
      <c r="I383" s="7"/>
    </row>
    <row r="384" spans="1:9" ht="15.75" x14ac:dyDescent="0.25">
      <c r="A384" s="6"/>
      <c r="B384" s="245"/>
      <c r="C384" s="247"/>
      <c r="D384" s="96"/>
      <c r="E384" s="96"/>
      <c r="F384" s="96"/>
      <c r="G384" s="96"/>
      <c r="H384" s="96"/>
      <c r="I384" s="7"/>
    </row>
    <row r="385" spans="1:9" ht="15.75" x14ac:dyDescent="0.25">
      <c r="A385" s="8"/>
      <c r="B385" s="250"/>
      <c r="C385" s="247"/>
      <c r="D385" s="96"/>
      <c r="E385" s="96"/>
      <c r="F385" s="96"/>
      <c r="G385" s="96"/>
      <c r="H385" s="96"/>
      <c r="I385" s="7"/>
    </row>
    <row r="386" spans="1:9" ht="15.75" x14ac:dyDescent="0.25">
      <c r="A386" s="6"/>
      <c r="B386" s="245"/>
      <c r="C386" s="247"/>
      <c r="D386" s="96"/>
      <c r="E386" s="96"/>
      <c r="F386" s="96"/>
      <c r="G386" s="96"/>
      <c r="H386" s="96"/>
      <c r="I386" s="9"/>
    </row>
    <row r="387" spans="1:9" ht="15.75" x14ac:dyDescent="0.25">
      <c r="A387" s="6"/>
      <c r="B387" s="245"/>
      <c r="C387" s="247"/>
      <c r="D387" s="96"/>
      <c r="E387" s="96"/>
      <c r="F387" s="96"/>
      <c r="G387" s="96"/>
      <c r="H387" s="96"/>
      <c r="I387" s="7"/>
    </row>
    <row r="388" spans="1:9" ht="15.75" x14ac:dyDescent="0.25">
      <c r="A388" s="6"/>
      <c r="B388" s="245"/>
      <c r="C388" s="247"/>
      <c r="D388" s="96"/>
      <c r="E388" s="96"/>
      <c r="F388" s="96"/>
      <c r="G388" s="96"/>
      <c r="H388" s="96"/>
      <c r="I388" s="7"/>
    </row>
    <row r="389" spans="1:9" ht="15.75" x14ac:dyDescent="0.25">
      <c r="A389" s="6"/>
      <c r="B389" s="245"/>
      <c r="C389" s="247"/>
      <c r="D389" s="96"/>
      <c r="E389" s="96"/>
      <c r="F389" s="96"/>
      <c r="G389" s="96"/>
      <c r="H389" s="96"/>
      <c r="I389" s="7"/>
    </row>
    <row r="390" spans="1:9" ht="15.75" x14ac:dyDescent="0.25">
      <c r="A390" s="6"/>
      <c r="B390" s="245"/>
      <c r="C390" s="247"/>
      <c r="D390" s="96"/>
      <c r="E390" s="96"/>
      <c r="F390" s="96"/>
      <c r="G390" s="96"/>
      <c r="H390" s="96"/>
      <c r="I390" s="9"/>
    </row>
    <row r="391" spans="1:9" ht="15.75" x14ac:dyDescent="0.25">
      <c r="A391" s="6"/>
      <c r="B391" s="245"/>
      <c r="C391" s="247"/>
      <c r="D391" s="96"/>
      <c r="E391" s="96"/>
      <c r="F391" s="96"/>
      <c r="G391" s="96"/>
      <c r="H391" s="96"/>
      <c r="I391" s="9"/>
    </row>
    <row r="392" spans="1:9" ht="15.75" x14ac:dyDescent="0.25">
      <c r="A392" s="6"/>
      <c r="B392" s="245"/>
      <c r="C392" s="247"/>
      <c r="D392" s="96"/>
      <c r="E392" s="96"/>
      <c r="F392" s="96"/>
      <c r="G392" s="96"/>
      <c r="H392" s="96"/>
      <c r="I392" s="9"/>
    </row>
    <row r="393" spans="1:9" ht="15.75" x14ac:dyDescent="0.25">
      <c r="A393" s="6"/>
      <c r="B393" s="245"/>
      <c r="C393" s="247"/>
      <c r="D393" s="96"/>
      <c r="E393" s="96"/>
      <c r="F393" s="96"/>
      <c r="G393" s="96"/>
      <c r="H393" s="96"/>
      <c r="I393" s="9"/>
    </row>
    <row r="394" spans="1:9" ht="15.75" x14ac:dyDescent="0.25">
      <c r="A394" s="6"/>
      <c r="B394" s="245"/>
      <c r="C394" s="247"/>
      <c r="D394" s="96"/>
      <c r="E394" s="96"/>
      <c r="F394" s="96"/>
      <c r="G394" s="96"/>
      <c r="H394" s="96"/>
      <c r="I394" s="9"/>
    </row>
    <row r="395" spans="1:9" ht="15.75" x14ac:dyDescent="0.25">
      <c r="A395" s="6"/>
      <c r="B395" s="245"/>
      <c r="C395" s="247"/>
      <c r="D395" s="96"/>
      <c r="E395" s="96"/>
      <c r="F395" s="96"/>
      <c r="G395" s="96"/>
      <c r="H395" s="96"/>
      <c r="I395" s="9"/>
    </row>
    <row r="396" spans="1:9" ht="15.75" x14ac:dyDescent="0.25">
      <c r="A396" s="6"/>
      <c r="B396" s="245"/>
      <c r="C396" s="247"/>
      <c r="D396" s="96"/>
      <c r="E396" s="96"/>
      <c r="F396" s="96"/>
      <c r="G396" s="96"/>
      <c r="H396" s="96"/>
      <c r="I396" s="9"/>
    </row>
    <row r="397" spans="1:9" ht="15.75" x14ac:dyDescent="0.25">
      <c r="A397" s="6"/>
      <c r="B397" s="245"/>
      <c r="C397" s="247"/>
      <c r="D397" s="96"/>
      <c r="E397" s="96"/>
      <c r="F397" s="96"/>
      <c r="G397" s="96"/>
      <c r="H397" s="96"/>
      <c r="I397" s="9"/>
    </row>
    <row r="398" spans="1:9" ht="15.75" x14ac:dyDescent="0.25">
      <c r="A398" s="6"/>
      <c r="B398" s="245"/>
      <c r="C398" s="247"/>
      <c r="D398" s="96"/>
      <c r="E398" s="96"/>
      <c r="F398" s="96"/>
      <c r="G398" s="96"/>
      <c r="H398" s="96"/>
      <c r="I398" s="9"/>
    </row>
    <row r="399" spans="1:9" ht="18.75" x14ac:dyDescent="0.3">
      <c r="A399" s="6"/>
      <c r="B399" s="245"/>
      <c r="C399" s="247"/>
      <c r="D399" s="5"/>
      <c r="E399" s="5"/>
      <c r="F399" s="5"/>
      <c r="G399" s="10"/>
      <c r="H399" s="5"/>
      <c r="I399" s="11"/>
    </row>
    <row r="400" spans="1:9" ht="18.75" x14ac:dyDescent="0.3">
      <c r="A400" s="12"/>
      <c r="B400" s="245"/>
      <c r="C400" s="247"/>
      <c r="D400" s="13"/>
      <c r="E400" s="13"/>
      <c r="F400" s="13"/>
      <c r="G400" s="14"/>
      <c r="H400" s="13"/>
      <c r="I400" s="15"/>
    </row>
    <row r="401" spans="1:9" ht="18.75" x14ac:dyDescent="0.3">
      <c r="A401" s="12"/>
      <c r="B401" s="245"/>
      <c r="C401" s="247"/>
      <c r="D401" s="13"/>
      <c r="E401" s="13"/>
      <c r="F401" s="13"/>
      <c r="G401" s="14"/>
      <c r="H401" s="13"/>
      <c r="I401" s="15"/>
    </row>
    <row r="402" spans="1:9" ht="19.5" thickBot="1" x14ac:dyDescent="0.35">
      <c r="A402" s="12"/>
      <c r="B402" s="248"/>
      <c r="C402" s="249"/>
      <c r="D402" s="16"/>
      <c r="E402" s="16"/>
      <c r="F402" s="16"/>
      <c r="G402" s="14"/>
      <c r="H402" s="16"/>
      <c r="I402" s="15"/>
    </row>
    <row r="403" spans="1:9" ht="16.5" thickBot="1" x14ac:dyDescent="0.3">
      <c r="A403" s="17">
        <f>SUM(A380:A402)</f>
        <v>173</v>
      </c>
      <c r="B403" s="241"/>
      <c r="C403" s="242"/>
      <c r="D403" s="18">
        <f>SUM(D380:D402)</f>
        <v>50</v>
      </c>
      <c r="E403" s="19">
        <f>SUM(E380:E402)</f>
        <v>0</v>
      </c>
      <c r="F403" s="20">
        <f>SUM(F380:F402)</f>
        <v>60</v>
      </c>
      <c r="G403" s="21">
        <f>SUM(G380:G402)</f>
        <v>0</v>
      </c>
      <c r="H403" s="22">
        <f>SUM(H380:H402)</f>
        <v>676</v>
      </c>
      <c r="I403" s="92"/>
    </row>
    <row r="404" spans="1:9" ht="16.5" thickBot="1" x14ac:dyDescent="0.3">
      <c r="A404" s="17"/>
      <c r="B404" s="243">
        <f>H403-A403</f>
        <v>503</v>
      </c>
      <c r="C404" s="244"/>
      <c r="D404" s="93" t="s">
        <v>11</v>
      </c>
      <c r="E404" s="245">
        <f>H403+G403+F403+E403+D403</f>
        <v>786</v>
      </c>
      <c r="F404" s="246"/>
      <c r="G404" s="246"/>
      <c r="H404" s="247"/>
      <c r="I404" s="92" t="s">
        <v>12</v>
      </c>
    </row>
    <row r="423" spans="1:9" ht="15.75" thickBot="1" x14ac:dyDescent="0.3"/>
    <row r="424" spans="1:9" ht="23.25" thickBot="1" x14ac:dyDescent="0.35">
      <c r="A424" s="251" t="s">
        <v>111</v>
      </c>
      <c r="B424" s="252"/>
      <c r="C424" s="252"/>
      <c r="D424" s="252"/>
      <c r="E424" s="252"/>
      <c r="F424" s="252"/>
      <c r="G424" s="252"/>
      <c r="H424" s="252"/>
      <c r="I424" s="253"/>
    </row>
    <row r="425" spans="1:9" ht="19.5" thickBot="1" x14ac:dyDescent="0.35">
      <c r="A425" s="254" t="s">
        <v>1</v>
      </c>
      <c r="B425" s="255"/>
      <c r="C425" s="255"/>
      <c r="D425" s="254" t="s">
        <v>2</v>
      </c>
      <c r="E425" s="255"/>
      <c r="F425" s="255"/>
      <c r="G425" s="255"/>
      <c r="H425" s="255"/>
      <c r="I425" s="256"/>
    </row>
    <row r="426" spans="1:9" ht="19.5" thickBot="1" x14ac:dyDescent="0.35">
      <c r="A426" s="1" t="s">
        <v>3</v>
      </c>
      <c r="B426" s="257" t="s">
        <v>4</v>
      </c>
      <c r="C426" s="258"/>
      <c r="D426" s="2" t="s">
        <v>5</v>
      </c>
      <c r="E426" s="2" t="s">
        <v>6</v>
      </c>
      <c r="F426" s="2" t="s">
        <v>7</v>
      </c>
      <c r="G426" s="2" t="s">
        <v>8</v>
      </c>
      <c r="H426" s="2" t="s">
        <v>9</v>
      </c>
      <c r="I426" s="100" t="s">
        <v>10</v>
      </c>
    </row>
    <row r="427" spans="1:9" ht="16.5" thickBot="1" x14ac:dyDescent="0.3">
      <c r="A427" s="101">
        <v>10</v>
      </c>
      <c r="B427" s="259" t="s">
        <v>41</v>
      </c>
      <c r="C427" s="259"/>
      <c r="D427" s="101"/>
      <c r="E427" s="101"/>
      <c r="F427" s="99"/>
      <c r="G427" s="101"/>
      <c r="H427" s="99">
        <v>400</v>
      </c>
      <c r="I427" s="26" t="s">
        <v>15</v>
      </c>
    </row>
    <row r="428" spans="1:9" ht="15.75" x14ac:dyDescent="0.25">
      <c r="A428" s="6">
        <v>25</v>
      </c>
      <c r="B428" s="260" t="s">
        <v>117</v>
      </c>
      <c r="C428" s="261"/>
      <c r="D428" s="101"/>
      <c r="E428" s="101"/>
      <c r="F428" s="101"/>
      <c r="G428" s="101"/>
      <c r="H428" s="101"/>
      <c r="I428" s="37" t="s">
        <v>116</v>
      </c>
    </row>
    <row r="429" spans="1:9" ht="15.75" x14ac:dyDescent="0.25">
      <c r="A429" s="6"/>
      <c r="B429" s="245"/>
      <c r="C429" s="247"/>
      <c r="D429" s="101"/>
      <c r="E429" s="101"/>
      <c r="F429" s="101"/>
      <c r="G429" s="101"/>
      <c r="H429" s="101"/>
      <c r="I429" s="7"/>
    </row>
    <row r="430" spans="1:9" ht="15.75" x14ac:dyDescent="0.25">
      <c r="A430" s="6"/>
      <c r="B430" s="245"/>
      <c r="C430" s="247"/>
      <c r="D430" s="101"/>
      <c r="E430" s="101"/>
      <c r="F430" s="101"/>
      <c r="G430" s="101"/>
      <c r="H430" s="101"/>
      <c r="I430" s="7"/>
    </row>
    <row r="431" spans="1:9" ht="15.75" x14ac:dyDescent="0.25">
      <c r="A431" s="6"/>
      <c r="B431" s="245"/>
      <c r="C431" s="247"/>
      <c r="D431" s="101"/>
      <c r="E431" s="101"/>
      <c r="F431" s="101"/>
      <c r="G431" s="101"/>
      <c r="H431" s="101"/>
      <c r="I431" s="7"/>
    </row>
    <row r="432" spans="1:9" ht="15.75" x14ac:dyDescent="0.25">
      <c r="A432" s="8"/>
      <c r="B432" s="250"/>
      <c r="C432" s="247"/>
      <c r="D432" s="101"/>
      <c r="E432" s="101"/>
      <c r="F432" s="101"/>
      <c r="G432" s="101"/>
      <c r="H432" s="101"/>
      <c r="I432" s="7"/>
    </row>
    <row r="433" spans="1:9" ht="15.75" x14ac:dyDescent="0.25">
      <c r="A433" s="6"/>
      <c r="B433" s="245"/>
      <c r="C433" s="247"/>
      <c r="D433" s="101"/>
      <c r="E433" s="101"/>
      <c r="F433" s="101"/>
      <c r="G433" s="101"/>
      <c r="H433" s="101"/>
      <c r="I433" s="9"/>
    </row>
    <row r="434" spans="1:9" ht="15.75" x14ac:dyDescent="0.25">
      <c r="A434" s="6"/>
      <c r="B434" s="245"/>
      <c r="C434" s="247"/>
      <c r="D434" s="101"/>
      <c r="E434" s="101"/>
      <c r="F434" s="101"/>
      <c r="G434" s="101"/>
      <c r="H434" s="101"/>
      <c r="I434" s="7"/>
    </row>
    <row r="435" spans="1:9" ht="15.75" x14ac:dyDescent="0.25">
      <c r="A435" s="6"/>
      <c r="B435" s="245"/>
      <c r="C435" s="247"/>
      <c r="D435" s="101"/>
      <c r="E435" s="101"/>
      <c r="F435" s="101"/>
      <c r="G435" s="101"/>
      <c r="H435" s="101"/>
      <c r="I435" s="7"/>
    </row>
    <row r="436" spans="1:9" ht="15.75" x14ac:dyDescent="0.25">
      <c r="A436" s="6"/>
      <c r="B436" s="245"/>
      <c r="C436" s="247"/>
      <c r="D436" s="101"/>
      <c r="E436" s="101"/>
      <c r="F436" s="101"/>
      <c r="G436" s="101"/>
      <c r="H436" s="101"/>
      <c r="I436" s="7"/>
    </row>
    <row r="437" spans="1:9" ht="15.75" x14ac:dyDescent="0.25">
      <c r="A437" s="6"/>
      <c r="B437" s="245"/>
      <c r="C437" s="247"/>
      <c r="D437" s="101"/>
      <c r="E437" s="101"/>
      <c r="F437" s="101"/>
      <c r="G437" s="101"/>
      <c r="H437" s="101"/>
      <c r="I437" s="9"/>
    </row>
    <row r="438" spans="1:9" ht="15.75" x14ac:dyDescent="0.25">
      <c r="A438" s="6"/>
      <c r="B438" s="245"/>
      <c r="C438" s="247"/>
      <c r="D438" s="101"/>
      <c r="E438" s="101"/>
      <c r="F438" s="101"/>
      <c r="G438" s="101"/>
      <c r="H438" s="101"/>
      <c r="I438" s="9"/>
    </row>
    <row r="439" spans="1:9" ht="15.75" x14ac:dyDescent="0.25">
      <c r="A439" s="6"/>
      <c r="B439" s="245"/>
      <c r="C439" s="247"/>
      <c r="D439" s="101"/>
      <c r="E439" s="101"/>
      <c r="F439" s="101"/>
      <c r="G439" s="101"/>
      <c r="H439" s="101"/>
      <c r="I439" s="9"/>
    </row>
    <row r="440" spans="1:9" ht="15.75" x14ac:dyDescent="0.25">
      <c r="A440" s="6"/>
      <c r="B440" s="245"/>
      <c r="C440" s="247"/>
      <c r="D440" s="101"/>
      <c r="E440" s="101"/>
      <c r="F440" s="101"/>
      <c r="G440" s="101"/>
      <c r="H440" s="101"/>
      <c r="I440" s="9"/>
    </row>
    <row r="441" spans="1:9" ht="15.75" x14ac:dyDescent="0.25">
      <c r="A441" s="6"/>
      <c r="B441" s="245"/>
      <c r="C441" s="247"/>
      <c r="D441" s="101"/>
      <c r="E441" s="101"/>
      <c r="F441" s="101"/>
      <c r="G441" s="101"/>
      <c r="H441" s="101"/>
      <c r="I441" s="9"/>
    </row>
    <row r="442" spans="1:9" ht="15.75" x14ac:dyDescent="0.25">
      <c r="A442" s="6"/>
      <c r="B442" s="245"/>
      <c r="C442" s="247"/>
      <c r="D442" s="101"/>
      <c r="E442" s="101"/>
      <c r="F442" s="101"/>
      <c r="G442" s="101"/>
      <c r="H442" s="101"/>
      <c r="I442" s="9"/>
    </row>
    <row r="443" spans="1:9" ht="15.75" x14ac:dyDescent="0.25">
      <c r="A443" s="6"/>
      <c r="B443" s="245"/>
      <c r="C443" s="247"/>
      <c r="D443" s="101"/>
      <c r="E443" s="101"/>
      <c r="F443" s="101"/>
      <c r="G443" s="101"/>
      <c r="H443" s="101"/>
      <c r="I443" s="9"/>
    </row>
    <row r="444" spans="1:9" ht="15.75" x14ac:dyDescent="0.25">
      <c r="A444" s="6"/>
      <c r="B444" s="245"/>
      <c r="C444" s="247"/>
      <c r="D444" s="101"/>
      <c r="E444" s="101"/>
      <c r="F444" s="101"/>
      <c r="G444" s="101"/>
      <c r="H444" s="101"/>
      <c r="I444" s="9"/>
    </row>
    <row r="445" spans="1:9" ht="15.75" x14ac:dyDescent="0.25">
      <c r="A445" s="6"/>
      <c r="B445" s="245"/>
      <c r="C445" s="247"/>
      <c r="D445" s="101"/>
      <c r="E445" s="101"/>
      <c r="F445" s="101"/>
      <c r="G445" s="101"/>
      <c r="H445" s="101"/>
      <c r="I445" s="9"/>
    </row>
    <row r="446" spans="1:9" ht="18.75" x14ac:dyDescent="0.3">
      <c r="A446" s="6"/>
      <c r="B446" s="245"/>
      <c r="C446" s="247"/>
      <c r="D446" s="5"/>
      <c r="E446" s="5"/>
      <c r="F446" s="5"/>
      <c r="G446" s="10"/>
      <c r="H446" s="5"/>
      <c r="I446" s="11"/>
    </row>
    <row r="447" spans="1:9" ht="18.75" x14ac:dyDescent="0.3">
      <c r="A447" s="12"/>
      <c r="B447" s="245"/>
      <c r="C447" s="247"/>
      <c r="D447" s="13"/>
      <c r="E447" s="13"/>
      <c r="F447" s="13"/>
      <c r="G447" s="14"/>
      <c r="H447" s="13"/>
      <c r="I447" s="15"/>
    </row>
    <row r="448" spans="1:9" ht="18.75" x14ac:dyDescent="0.3">
      <c r="A448" s="12"/>
      <c r="B448" s="245"/>
      <c r="C448" s="247"/>
      <c r="D448" s="13"/>
      <c r="E448" s="13"/>
      <c r="F448" s="13"/>
      <c r="G448" s="14"/>
      <c r="H448" s="13"/>
      <c r="I448" s="15"/>
    </row>
    <row r="449" spans="1:9" ht="19.5" thickBot="1" x14ac:dyDescent="0.35">
      <c r="A449" s="12"/>
      <c r="B449" s="248"/>
      <c r="C449" s="249"/>
      <c r="D449" s="16"/>
      <c r="E449" s="16"/>
      <c r="F449" s="16"/>
      <c r="G449" s="14"/>
      <c r="H449" s="16"/>
      <c r="I449" s="15"/>
    </row>
    <row r="450" spans="1:9" ht="16.5" thickBot="1" x14ac:dyDescent="0.3">
      <c r="A450" s="17">
        <f>SUM(A427:A449)</f>
        <v>35</v>
      </c>
      <c r="B450" s="241"/>
      <c r="C450" s="242"/>
      <c r="D450" s="18">
        <f>SUM(D427:D449)</f>
        <v>0</v>
      </c>
      <c r="E450" s="19">
        <f>SUM(E427:E449)</f>
        <v>0</v>
      </c>
      <c r="F450" s="20">
        <f>SUM(F427:F449)</f>
        <v>0</v>
      </c>
      <c r="G450" s="21">
        <f>SUM(G427:G449)</f>
        <v>0</v>
      </c>
      <c r="H450" s="22">
        <f>SUM(H427:H449)</f>
        <v>400</v>
      </c>
      <c r="I450" s="97"/>
    </row>
    <row r="451" spans="1:9" ht="16.5" thickBot="1" x14ac:dyDescent="0.3">
      <c r="A451" s="17"/>
      <c r="B451" s="243">
        <f>H450-A450</f>
        <v>365</v>
      </c>
      <c r="C451" s="244"/>
      <c r="D451" s="98" t="s">
        <v>11</v>
      </c>
      <c r="E451" s="245">
        <f>H450+G450+F450+E450+D450</f>
        <v>400</v>
      </c>
      <c r="F451" s="246"/>
      <c r="G451" s="246"/>
      <c r="H451" s="247"/>
      <c r="I451" s="97" t="s">
        <v>12</v>
      </c>
    </row>
    <row r="469" spans="1:9" ht="15.75" thickBot="1" x14ac:dyDescent="0.3"/>
    <row r="470" spans="1:9" ht="23.25" thickBot="1" x14ac:dyDescent="0.35">
      <c r="A470" s="251" t="s">
        <v>118</v>
      </c>
      <c r="B470" s="252"/>
      <c r="C470" s="252"/>
      <c r="D470" s="252"/>
      <c r="E470" s="252"/>
      <c r="F470" s="252"/>
      <c r="G470" s="252"/>
      <c r="H470" s="252"/>
      <c r="I470" s="253"/>
    </row>
    <row r="471" spans="1:9" ht="19.5" thickBot="1" x14ac:dyDescent="0.35">
      <c r="A471" s="254" t="s">
        <v>1</v>
      </c>
      <c r="B471" s="255"/>
      <c r="C471" s="255"/>
      <c r="D471" s="254" t="s">
        <v>2</v>
      </c>
      <c r="E471" s="255"/>
      <c r="F471" s="255"/>
      <c r="G471" s="255"/>
      <c r="H471" s="255"/>
      <c r="I471" s="256"/>
    </row>
    <row r="472" spans="1:9" ht="19.5" thickBot="1" x14ac:dyDescent="0.35">
      <c r="A472" s="1" t="s">
        <v>3</v>
      </c>
      <c r="B472" s="257" t="s">
        <v>4</v>
      </c>
      <c r="C472" s="258"/>
      <c r="D472" s="2" t="s">
        <v>5</v>
      </c>
      <c r="E472" s="2" t="s">
        <v>6</v>
      </c>
      <c r="F472" s="2" t="s">
        <v>7</v>
      </c>
      <c r="G472" s="2" t="s">
        <v>8</v>
      </c>
      <c r="H472" s="2" t="s">
        <v>9</v>
      </c>
      <c r="I472" s="107" t="s">
        <v>10</v>
      </c>
    </row>
    <row r="473" spans="1:9" ht="16.5" thickBot="1" x14ac:dyDescent="0.3">
      <c r="A473" s="108">
        <v>100</v>
      </c>
      <c r="B473" s="259" t="s">
        <v>124</v>
      </c>
      <c r="C473" s="259"/>
      <c r="D473" s="108"/>
      <c r="E473" s="108"/>
      <c r="F473" s="104"/>
      <c r="G473" s="108"/>
      <c r="H473" s="104">
        <f>400+400</f>
        <v>800</v>
      </c>
      <c r="I473" s="26" t="s">
        <v>119</v>
      </c>
    </row>
    <row r="474" spans="1:9" ht="15.75" x14ac:dyDescent="0.25">
      <c r="A474" s="6"/>
      <c r="B474" s="260"/>
      <c r="C474" s="261"/>
      <c r="D474" s="108"/>
      <c r="E474" s="108"/>
      <c r="F474" s="108"/>
      <c r="G474" s="108"/>
      <c r="H474" s="108">
        <v>300</v>
      </c>
      <c r="I474" s="37" t="s">
        <v>120</v>
      </c>
    </row>
    <row r="475" spans="1:9" ht="15.75" x14ac:dyDescent="0.25">
      <c r="A475" s="6"/>
      <c r="B475" s="245"/>
      <c r="C475" s="247"/>
      <c r="D475" s="108"/>
      <c r="E475" s="108"/>
      <c r="F475" s="108"/>
      <c r="G475" s="108"/>
      <c r="H475" s="108">
        <v>15</v>
      </c>
      <c r="I475" s="7" t="s">
        <v>121</v>
      </c>
    </row>
    <row r="476" spans="1:9" ht="15.75" x14ac:dyDescent="0.25">
      <c r="A476" s="6"/>
      <c r="B476" s="245"/>
      <c r="C476" s="247"/>
      <c r="D476" s="108"/>
      <c r="E476" s="108"/>
      <c r="F476" s="108">
        <v>450</v>
      </c>
      <c r="G476" s="108"/>
      <c r="H476" s="108"/>
      <c r="I476" s="7" t="s">
        <v>123</v>
      </c>
    </row>
    <row r="477" spans="1:9" ht="15.75" x14ac:dyDescent="0.25">
      <c r="A477" s="6"/>
      <c r="B477" s="245"/>
      <c r="C477" s="247"/>
      <c r="D477" s="108"/>
      <c r="E477" s="108"/>
      <c r="F477" s="108"/>
      <c r="G477" s="108"/>
      <c r="H477" s="108">
        <f>2.5*3</f>
        <v>7.5</v>
      </c>
      <c r="I477" s="7" t="s">
        <v>122</v>
      </c>
    </row>
    <row r="478" spans="1:9" ht="15.75" x14ac:dyDescent="0.25">
      <c r="A478" s="8"/>
      <c r="B478" s="250"/>
      <c r="C478" s="247"/>
      <c r="D478" s="108"/>
      <c r="E478" s="108"/>
      <c r="F478" s="108"/>
      <c r="G478" s="108"/>
      <c r="H478" s="108"/>
      <c r="I478" s="7"/>
    </row>
    <row r="479" spans="1:9" ht="15.75" x14ac:dyDescent="0.25">
      <c r="A479" s="6"/>
      <c r="B479" s="245"/>
      <c r="C479" s="247"/>
      <c r="D479" s="108"/>
      <c r="E479" s="108"/>
      <c r="F479" s="108"/>
      <c r="G479" s="108"/>
      <c r="H479" s="108"/>
      <c r="I479" s="9"/>
    </row>
    <row r="480" spans="1:9" ht="15.75" x14ac:dyDescent="0.25">
      <c r="A480" s="6"/>
      <c r="B480" s="245"/>
      <c r="C480" s="247"/>
      <c r="D480" s="108"/>
      <c r="E480" s="108"/>
      <c r="F480" s="108"/>
      <c r="G480" s="108"/>
      <c r="H480" s="108"/>
      <c r="I480" s="7"/>
    </row>
    <row r="481" spans="1:9" ht="15.75" x14ac:dyDescent="0.25">
      <c r="A481" s="6"/>
      <c r="B481" s="245"/>
      <c r="C481" s="247"/>
      <c r="D481" s="108"/>
      <c r="E481" s="108"/>
      <c r="F481" s="108"/>
      <c r="G481" s="108"/>
      <c r="H481" s="108"/>
      <c r="I481" s="7"/>
    </row>
    <row r="482" spans="1:9" ht="15.75" x14ac:dyDescent="0.25">
      <c r="A482" s="6"/>
      <c r="B482" s="245"/>
      <c r="C482" s="247"/>
      <c r="D482" s="108"/>
      <c r="E482" s="108"/>
      <c r="F482" s="108"/>
      <c r="G482" s="108"/>
      <c r="H482" s="108"/>
      <c r="I482" s="7"/>
    </row>
    <row r="483" spans="1:9" ht="15.75" x14ac:dyDescent="0.25">
      <c r="A483" s="6"/>
      <c r="B483" s="245"/>
      <c r="C483" s="247"/>
      <c r="D483" s="108"/>
      <c r="E483" s="108"/>
      <c r="F483" s="108"/>
      <c r="G483" s="108"/>
      <c r="H483" s="108"/>
      <c r="I483" s="9"/>
    </row>
    <row r="484" spans="1:9" ht="15.75" x14ac:dyDescent="0.25">
      <c r="A484" s="6"/>
      <c r="B484" s="245"/>
      <c r="C484" s="247"/>
      <c r="D484" s="108"/>
      <c r="E484" s="108"/>
      <c r="F484" s="108"/>
      <c r="G484" s="108"/>
      <c r="H484" s="108"/>
      <c r="I484" s="9"/>
    </row>
    <row r="485" spans="1:9" ht="15.75" x14ac:dyDescent="0.25">
      <c r="A485" s="6"/>
      <c r="B485" s="245"/>
      <c r="C485" s="247"/>
      <c r="D485" s="108"/>
      <c r="E485" s="108"/>
      <c r="F485" s="108"/>
      <c r="G485" s="108"/>
      <c r="H485" s="108"/>
      <c r="I485" s="9"/>
    </row>
    <row r="486" spans="1:9" ht="15.75" x14ac:dyDescent="0.25">
      <c r="A486" s="6"/>
      <c r="B486" s="245"/>
      <c r="C486" s="247"/>
      <c r="D486" s="108"/>
      <c r="E486" s="108"/>
      <c r="F486" s="108"/>
      <c r="G486" s="108"/>
      <c r="H486" s="108"/>
      <c r="I486" s="9"/>
    </row>
    <row r="487" spans="1:9" ht="15.75" x14ac:dyDescent="0.25">
      <c r="A487" s="6"/>
      <c r="B487" s="245"/>
      <c r="C487" s="247"/>
      <c r="D487" s="108"/>
      <c r="E487" s="108"/>
      <c r="F487" s="108"/>
      <c r="G487" s="108"/>
      <c r="H487" s="108"/>
      <c r="I487" s="9"/>
    </row>
    <row r="488" spans="1:9" ht="15.75" x14ac:dyDescent="0.25">
      <c r="A488" s="6"/>
      <c r="B488" s="245"/>
      <c r="C488" s="247"/>
      <c r="D488" s="108"/>
      <c r="E488" s="108"/>
      <c r="F488" s="108"/>
      <c r="G488" s="108"/>
      <c r="H488" s="108"/>
      <c r="I488" s="9"/>
    </row>
    <row r="489" spans="1:9" ht="15.75" x14ac:dyDescent="0.25">
      <c r="A489" s="6"/>
      <c r="B489" s="245"/>
      <c r="C489" s="247"/>
      <c r="D489" s="108"/>
      <c r="E489" s="108"/>
      <c r="F489" s="108"/>
      <c r="G489" s="108"/>
      <c r="H489" s="108"/>
      <c r="I489" s="9"/>
    </row>
    <row r="490" spans="1:9" ht="15.75" x14ac:dyDescent="0.25">
      <c r="A490" s="6"/>
      <c r="B490" s="245"/>
      <c r="C490" s="247"/>
      <c r="D490" s="108"/>
      <c r="E490" s="108"/>
      <c r="F490" s="108"/>
      <c r="G490" s="108"/>
      <c r="H490" s="108"/>
      <c r="I490" s="9"/>
    </row>
    <row r="491" spans="1:9" ht="15.75" x14ac:dyDescent="0.25">
      <c r="A491" s="6"/>
      <c r="B491" s="245"/>
      <c r="C491" s="247"/>
      <c r="D491" s="108"/>
      <c r="E491" s="108"/>
      <c r="F491" s="108"/>
      <c r="G491" s="108"/>
      <c r="H491" s="108"/>
      <c r="I491" s="9"/>
    </row>
    <row r="492" spans="1:9" ht="18.75" x14ac:dyDescent="0.3">
      <c r="A492" s="6"/>
      <c r="B492" s="245"/>
      <c r="C492" s="247"/>
      <c r="D492" s="5"/>
      <c r="E492" s="5"/>
      <c r="F492" s="5"/>
      <c r="G492" s="10"/>
      <c r="H492" s="5"/>
      <c r="I492" s="11"/>
    </row>
    <row r="493" spans="1:9" ht="18.75" x14ac:dyDescent="0.3">
      <c r="A493" s="12"/>
      <c r="B493" s="245"/>
      <c r="C493" s="247"/>
      <c r="D493" s="13"/>
      <c r="E493" s="13"/>
      <c r="F493" s="13"/>
      <c r="G493" s="14"/>
      <c r="H493" s="13"/>
      <c r="I493" s="15"/>
    </row>
    <row r="494" spans="1:9" ht="18.75" x14ac:dyDescent="0.3">
      <c r="A494" s="12"/>
      <c r="B494" s="245"/>
      <c r="C494" s="247"/>
      <c r="D494" s="13"/>
      <c r="E494" s="13"/>
      <c r="F494" s="13"/>
      <c r="G494" s="14"/>
      <c r="H494" s="13"/>
      <c r="I494" s="15"/>
    </row>
    <row r="495" spans="1:9" ht="19.5" thickBot="1" x14ac:dyDescent="0.35">
      <c r="A495" s="12"/>
      <c r="B495" s="248"/>
      <c r="C495" s="249"/>
      <c r="D495" s="16"/>
      <c r="E495" s="16"/>
      <c r="F495" s="16"/>
      <c r="G495" s="14"/>
      <c r="H495" s="16"/>
      <c r="I495" s="15"/>
    </row>
    <row r="496" spans="1:9" ht="16.5" thickBot="1" x14ac:dyDescent="0.3">
      <c r="A496" s="17">
        <f>SUM(A473:A495)</f>
        <v>100</v>
      </c>
      <c r="B496" s="241"/>
      <c r="C496" s="242"/>
      <c r="D496" s="18">
        <f>SUM(D473:D495)</f>
        <v>0</v>
      </c>
      <c r="E496" s="19">
        <f>SUM(E473:E495)</f>
        <v>0</v>
      </c>
      <c r="F496" s="20">
        <f>SUM(F473:F495)</f>
        <v>450</v>
      </c>
      <c r="G496" s="21">
        <f>SUM(G473:G495)</f>
        <v>0</v>
      </c>
      <c r="H496" s="22">
        <f>SUM(H473:H495)</f>
        <v>1122.5</v>
      </c>
      <c r="I496" s="105"/>
    </row>
    <row r="497" spans="1:9" ht="16.5" thickBot="1" x14ac:dyDescent="0.3">
      <c r="A497" s="17"/>
      <c r="B497" s="243">
        <f>H496-A496</f>
        <v>1022.5</v>
      </c>
      <c r="C497" s="244"/>
      <c r="D497" s="106" t="s">
        <v>11</v>
      </c>
      <c r="E497" s="245">
        <f>H496+G496+F496+E496+D496</f>
        <v>1572.5</v>
      </c>
      <c r="F497" s="246"/>
      <c r="G497" s="246"/>
      <c r="H497" s="247"/>
      <c r="I497" s="105" t="s">
        <v>12</v>
      </c>
    </row>
    <row r="516" spans="1:9" ht="15.75" thickBot="1" x14ac:dyDescent="0.3"/>
    <row r="517" spans="1:9" ht="23.25" thickBot="1" x14ac:dyDescent="0.35">
      <c r="A517" s="251" t="s">
        <v>125</v>
      </c>
      <c r="B517" s="252"/>
      <c r="C517" s="252"/>
      <c r="D517" s="252"/>
      <c r="E517" s="252"/>
      <c r="F517" s="252"/>
      <c r="G517" s="252"/>
      <c r="H517" s="252"/>
      <c r="I517" s="253"/>
    </row>
    <row r="518" spans="1:9" ht="19.5" thickBot="1" x14ac:dyDescent="0.35">
      <c r="A518" s="254" t="s">
        <v>1</v>
      </c>
      <c r="B518" s="255"/>
      <c r="C518" s="255"/>
      <c r="D518" s="254" t="s">
        <v>2</v>
      </c>
      <c r="E518" s="255"/>
      <c r="F518" s="255"/>
      <c r="G518" s="255"/>
      <c r="H518" s="255"/>
      <c r="I518" s="256"/>
    </row>
    <row r="519" spans="1:9" ht="19.5" thickBot="1" x14ac:dyDescent="0.35">
      <c r="A519" s="1" t="s">
        <v>3</v>
      </c>
      <c r="B519" s="257" t="s">
        <v>4</v>
      </c>
      <c r="C519" s="258"/>
      <c r="D519" s="2" t="s">
        <v>5</v>
      </c>
      <c r="E519" s="2" t="s">
        <v>6</v>
      </c>
      <c r="F519" s="2" t="s">
        <v>7</v>
      </c>
      <c r="G519" s="2" t="s">
        <v>8</v>
      </c>
      <c r="H519" s="2" t="s">
        <v>9</v>
      </c>
      <c r="I519" s="112" t="s">
        <v>10</v>
      </c>
    </row>
    <row r="520" spans="1:9" ht="16.5" thickBot="1" x14ac:dyDescent="0.3">
      <c r="A520" s="113">
        <v>28</v>
      </c>
      <c r="B520" s="259" t="s">
        <v>48</v>
      </c>
      <c r="C520" s="259"/>
      <c r="D520" s="113"/>
      <c r="E520" s="113">
        <f>490+490</f>
        <v>980</v>
      </c>
      <c r="F520" s="111"/>
      <c r="G520" s="113"/>
      <c r="H520" s="111"/>
      <c r="I520" s="124" t="s">
        <v>126</v>
      </c>
    </row>
    <row r="521" spans="1:9" ht="15.75" x14ac:dyDescent="0.25">
      <c r="A521" s="6"/>
      <c r="B521" s="260"/>
      <c r="C521" s="261"/>
      <c r="D521" s="113"/>
      <c r="E521" s="113"/>
      <c r="F521" s="113">
        <v>115</v>
      </c>
      <c r="G521" s="113"/>
      <c r="H521" s="113"/>
      <c r="I521" s="37" t="s">
        <v>127</v>
      </c>
    </row>
    <row r="522" spans="1:9" ht="15.75" x14ac:dyDescent="0.25">
      <c r="A522" s="6"/>
      <c r="B522" s="245"/>
      <c r="C522" s="247"/>
      <c r="D522" s="113"/>
      <c r="E522" s="113"/>
      <c r="F522" s="113"/>
      <c r="G522" s="113"/>
      <c r="H522" s="113"/>
      <c r="I522" s="7"/>
    </row>
    <row r="523" spans="1:9" ht="15.75" x14ac:dyDescent="0.25">
      <c r="A523" s="6"/>
      <c r="B523" s="245"/>
      <c r="C523" s="247"/>
      <c r="D523" s="113"/>
      <c r="E523" s="113"/>
      <c r="F523" s="113"/>
      <c r="G523" s="113"/>
      <c r="H523" s="113"/>
      <c r="I523" s="7"/>
    </row>
    <row r="524" spans="1:9" ht="15.75" x14ac:dyDescent="0.25">
      <c r="A524" s="6"/>
      <c r="B524" s="245"/>
      <c r="C524" s="247"/>
      <c r="D524" s="113"/>
      <c r="E524" s="113"/>
      <c r="F524" s="113"/>
      <c r="G524" s="113"/>
      <c r="H524" s="113"/>
      <c r="I524" s="7"/>
    </row>
    <row r="525" spans="1:9" ht="15.75" x14ac:dyDescent="0.25">
      <c r="A525" s="8"/>
      <c r="B525" s="250"/>
      <c r="C525" s="247"/>
      <c r="D525" s="113"/>
      <c r="E525" s="113"/>
      <c r="F525" s="113"/>
      <c r="G525" s="113"/>
      <c r="H525" s="113"/>
      <c r="I525" s="7"/>
    </row>
    <row r="526" spans="1:9" ht="15.75" x14ac:dyDescent="0.25">
      <c r="A526" s="6"/>
      <c r="B526" s="245"/>
      <c r="C526" s="247"/>
      <c r="D526" s="113"/>
      <c r="E526" s="113"/>
      <c r="F526" s="113"/>
      <c r="G526" s="113"/>
      <c r="H526" s="113"/>
      <c r="I526" s="9"/>
    </row>
    <row r="527" spans="1:9" ht="15.75" x14ac:dyDescent="0.25">
      <c r="A527" s="6"/>
      <c r="B527" s="245"/>
      <c r="C527" s="247"/>
      <c r="D527" s="113"/>
      <c r="E527" s="113"/>
      <c r="F527" s="113"/>
      <c r="G527" s="113"/>
      <c r="H527" s="113"/>
      <c r="I527" s="7"/>
    </row>
    <row r="528" spans="1:9" ht="15.75" x14ac:dyDescent="0.25">
      <c r="A528" s="6"/>
      <c r="B528" s="245"/>
      <c r="C528" s="247"/>
      <c r="D528" s="113"/>
      <c r="E528" s="113"/>
      <c r="F528" s="113"/>
      <c r="G528" s="113"/>
      <c r="H528" s="113"/>
      <c r="I528" s="7"/>
    </row>
    <row r="529" spans="1:9" ht="15.75" x14ac:dyDescent="0.25">
      <c r="A529" s="6"/>
      <c r="B529" s="245"/>
      <c r="C529" s="247"/>
      <c r="D529" s="113"/>
      <c r="E529" s="113"/>
      <c r="F529" s="113"/>
      <c r="G529" s="113"/>
      <c r="H529" s="113"/>
      <c r="I529" s="7"/>
    </row>
    <row r="530" spans="1:9" ht="15.75" x14ac:dyDescent="0.25">
      <c r="A530" s="6"/>
      <c r="B530" s="245"/>
      <c r="C530" s="247"/>
      <c r="D530" s="113"/>
      <c r="E530" s="113"/>
      <c r="F530" s="113"/>
      <c r="G530" s="113"/>
      <c r="H530" s="113"/>
      <c r="I530" s="9"/>
    </row>
    <row r="531" spans="1:9" ht="15.75" x14ac:dyDescent="0.25">
      <c r="A531" s="6"/>
      <c r="B531" s="245"/>
      <c r="C531" s="247"/>
      <c r="D531" s="113"/>
      <c r="E531" s="113"/>
      <c r="F531" s="113"/>
      <c r="G531" s="113"/>
      <c r="H531" s="113"/>
      <c r="I531" s="9"/>
    </row>
    <row r="532" spans="1:9" ht="15.75" x14ac:dyDescent="0.25">
      <c r="A532" s="6"/>
      <c r="B532" s="245"/>
      <c r="C532" s="247"/>
      <c r="D532" s="113"/>
      <c r="E532" s="113"/>
      <c r="F532" s="113"/>
      <c r="G532" s="113"/>
      <c r="H532" s="113"/>
      <c r="I532" s="9"/>
    </row>
    <row r="533" spans="1:9" ht="15.75" x14ac:dyDescent="0.25">
      <c r="A533" s="6"/>
      <c r="B533" s="245"/>
      <c r="C533" s="247"/>
      <c r="D533" s="113"/>
      <c r="E533" s="113"/>
      <c r="F533" s="113"/>
      <c r="G533" s="113"/>
      <c r="H533" s="113"/>
      <c r="I533" s="9"/>
    </row>
    <row r="534" spans="1:9" ht="15.75" x14ac:dyDescent="0.25">
      <c r="A534" s="6"/>
      <c r="B534" s="245"/>
      <c r="C534" s="247"/>
      <c r="D534" s="113"/>
      <c r="E534" s="113"/>
      <c r="F534" s="113"/>
      <c r="G534" s="113"/>
      <c r="H534" s="113"/>
      <c r="I534" s="9"/>
    </row>
    <row r="535" spans="1:9" ht="15.75" x14ac:dyDescent="0.25">
      <c r="A535" s="6"/>
      <c r="B535" s="245"/>
      <c r="C535" s="247"/>
      <c r="D535" s="113"/>
      <c r="E535" s="113"/>
      <c r="F535" s="113"/>
      <c r="G535" s="113"/>
      <c r="H535" s="113"/>
      <c r="I535" s="9"/>
    </row>
    <row r="536" spans="1:9" ht="15.75" x14ac:dyDescent="0.25">
      <c r="A536" s="6"/>
      <c r="B536" s="245"/>
      <c r="C536" s="247"/>
      <c r="D536" s="113"/>
      <c r="E536" s="113"/>
      <c r="F536" s="113"/>
      <c r="G536" s="113"/>
      <c r="H536" s="113"/>
      <c r="I536" s="9"/>
    </row>
    <row r="537" spans="1:9" ht="15.75" x14ac:dyDescent="0.25">
      <c r="A537" s="6"/>
      <c r="B537" s="245"/>
      <c r="C537" s="247"/>
      <c r="D537" s="113"/>
      <c r="E537" s="113"/>
      <c r="F537" s="113"/>
      <c r="G537" s="113"/>
      <c r="H537" s="113"/>
      <c r="I537" s="9"/>
    </row>
    <row r="538" spans="1:9" ht="15.75" x14ac:dyDescent="0.25">
      <c r="A538" s="6"/>
      <c r="B538" s="245"/>
      <c r="C538" s="247"/>
      <c r="D538" s="113"/>
      <c r="E538" s="113"/>
      <c r="F538" s="113"/>
      <c r="G538" s="113"/>
      <c r="H538" s="113"/>
      <c r="I538" s="9"/>
    </row>
    <row r="539" spans="1:9" ht="18.75" x14ac:dyDescent="0.3">
      <c r="A539" s="6"/>
      <c r="B539" s="245"/>
      <c r="C539" s="247"/>
      <c r="D539" s="5"/>
      <c r="E539" s="5"/>
      <c r="F539" s="5"/>
      <c r="G539" s="10"/>
      <c r="H539" s="5"/>
      <c r="I539" s="11"/>
    </row>
    <row r="540" spans="1:9" ht="18.75" x14ac:dyDescent="0.3">
      <c r="A540" s="12"/>
      <c r="B540" s="245"/>
      <c r="C540" s="247"/>
      <c r="D540" s="13"/>
      <c r="E540" s="13"/>
      <c r="F540" s="13"/>
      <c r="G540" s="14"/>
      <c r="H540" s="13"/>
      <c r="I540" s="15"/>
    </row>
    <row r="541" spans="1:9" ht="18.75" x14ac:dyDescent="0.3">
      <c r="A541" s="12"/>
      <c r="B541" s="245"/>
      <c r="C541" s="247"/>
      <c r="D541" s="13"/>
      <c r="E541" s="13"/>
      <c r="F541" s="13"/>
      <c r="G541" s="14"/>
      <c r="H541" s="13"/>
      <c r="I541" s="15"/>
    </row>
    <row r="542" spans="1:9" ht="19.5" thickBot="1" x14ac:dyDescent="0.35">
      <c r="A542" s="12"/>
      <c r="B542" s="248"/>
      <c r="C542" s="249"/>
      <c r="D542" s="16"/>
      <c r="E542" s="16"/>
      <c r="F542" s="16"/>
      <c r="G542" s="14"/>
      <c r="H542" s="16"/>
      <c r="I542" s="15"/>
    </row>
    <row r="543" spans="1:9" ht="16.5" thickBot="1" x14ac:dyDescent="0.3">
      <c r="A543" s="17">
        <f>SUM(A520:A542)</f>
        <v>28</v>
      </c>
      <c r="B543" s="241"/>
      <c r="C543" s="242"/>
      <c r="D543" s="18">
        <f>SUM(D520:D542)</f>
        <v>0</v>
      </c>
      <c r="E543" s="19">
        <f>SUM(E520:E542)</f>
        <v>980</v>
      </c>
      <c r="F543" s="20">
        <f>SUM(F520:F542)</f>
        <v>115</v>
      </c>
      <c r="G543" s="21">
        <f>SUM(G520:G542)</f>
        <v>0</v>
      </c>
      <c r="H543" s="22">
        <f>SUM(H520:H542)</f>
        <v>0</v>
      </c>
      <c r="I543" s="109"/>
    </row>
    <row r="544" spans="1:9" ht="16.5" thickBot="1" x14ac:dyDescent="0.3">
      <c r="A544" s="17"/>
      <c r="B544" s="243">
        <f>H543-A543</f>
        <v>-28</v>
      </c>
      <c r="C544" s="244"/>
      <c r="D544" s="110" t="s">
        <v>11</v>
      </c>
      <c r="E544" s="245">
        <f>H543+G543+F543+E543+D543</f>
        <v>1095</v>
      </c>
      <c r="F544" s="246"/>
      <c r="G544" s="246"/>
      <c r="H544" s="247"/>
      <c r="I544" s="109" t="s">
        <v>12</v>
      </c>
    </row>
    <row r="563" spans="1:9" ht="15.75" thickBot="1" x14ac:dyDescent="0.3"/>
    <row r="564" spans="1:9" ht="23.25" thickBot="1" x14ac:dyDescent="0.35">
      <c r="A564" s="251" t="s">
        <v>128</v>
      </c>
      <c r="B564" s="252"/>
      <c r="C564" s="252"/>
      <c r="D564" s="252"/>
      <c r="E564" s="252"/>
      <c r="F564" s="252"/>
      <c r="G564" s="252"/>
      <c r="H564" s="252"/>
      <c r="I564" s="253"/>
    </row>
    <row r="565" spans="1:9" ht="19.5" thickBot="1" x14ac:dyDescent="0.35">
      <c r="A565" s="254" t="s">
        <v>1</v>
      </c>
      <c r="B565" s="255"/>
      <c r="C565" s="255"/>
      <c r="D565" s="254" t="s">
        <v>2</v>
      </c>
      <c r="E565" s="255"/>
      <c r="F565" s="255"/>
      <c r="G565" s="255"/>
      <c r="H565" s="255"/>
      <c r="I565" s="256"/>
    </row>
    <row r="566" spans="1:9" ht="19.5" thickBot="1" x14ac:dyDescent="0.35">
      <c r="A566" s="1" t="s">
        <v>3</v>
      </c>
      <c r="B566" s="257" t="s">
        <v>4</v>
      </c>
      <c r="C566" s="258"/>
      <c r="D566" s="2" t="s">
        <v>5</v>
      </c>
      <c r="E566" s="2" t="s">
        <v>6</v>
      </c>
      <c r="F566" s="2" t="s">
        <v>7</v>
      </c>
      <c r="G566" s="2" t="s">
        <v>8</v>
      </c>
      <c r="H566" s="2" t="s">
        <v>9</v>
      </c>
      <c r="I566" s="117" t="s">
        <v>10</v>
      </c>
    </row>
    <row r="567" spans="1:9" ht="16.5" thickBot="1" x14ac:dyDescent="0.3">
      <c r="A567" s="118">
        <v>25</v>
      </c>
      <c r="B567" s="259" t="s">
        <v>133</v>
      </c>
      <c r="C567" s="259"/>
      <c r="D567" s="118"/>
      <c r="E567" s="118"/>
      <c r="F567" s="114"/>
      <c r="G567" s="118"/>
      <c r="H567" s="114">
        <v>3</v>
      </c>
      <c r="I567" s="26" t="s">
        <v>129</v>
      </c>
    </row>
    <row r="568" spans="1:9" ht="15.75" x14ac:dyDescent="0.25">
      <c r="A568" s="6"/>
      <c r="B568" s="260"/>
      <c r="C568" s="261"/>
      <c r="D568" s="118"/>
      <c r="E568" s="118"/>
      <c r="F568" s="118"/>
      <c r="G568" s="118"/>
      <c r="H568" s="118">
        <v>530</v>
      </c>
      <c r="I568" s="37" t="s">
        <v>17</v>
      </c>
    </row>
    <row r="569" spans="1:9" ht="15.75" x14ac:dyDescent="0.25">
      <c r="A569" s="6"/>
      <c r="B569" s="245"/>
      <c r="C569" s="247"/>
      <c r="D569" s="118"/>
      <c r="E569" s="118"/>
      <c r="F569" s="129">
        <v>42.5</v>
      </c>
      <c r="G569" s="129"/>
      <c r="H569" s="129"/>
      <c r="I569" s="7" t="s">
        <v>130</v>
      </c>
    </row>
    <row r="570" spans="1:9" ht="15.75" x14ac:dyDescent="0.25">
      <c r="A570" s="6"/>
      <c r="B570" s="245"/>
      <c r="C570" s="247"/>
      <c r="D570" s="118"/>
      <c r="E570" s="118"/>
      <c r="F570" s="129">
        <v>82.5</v>
      </c>
      <c r="G570" s="129"/>
      <c r="H570" s="129"/>
      <c r="I570" s="7" t="s">
        <v>131</v>
      </c>
    </row>
    <row r="571" spans="1:9" ht="15.75" x14ac:dyDescent="0.25">
      <c r="A571" s="6"/>
      <c r="B571" s="245"/>
      <c r="C571" s="247"/>
      <c r="D571" s="118"/>
      <c r="E571" s="118"/>
      <c r="F571" s="129">
        <v>2.5</v>
      </c>
      <c r="G571" s="129"/>
      <c r="H571" s="129"/>
      <c r="I571" s="7" t="s">
        <v>132</v>
      </c>
    </row>
    <row r="572" spans="1:9" ht="15.75" x14ac:dyDescent="0.25">
      <c r="A572" s="8"/>
      <c r="B572" s="250"/>
      <c r="C572" s="247"/>
      <c r="D572" s="118"/>
      <c r="E572" s="118"/>
      <c r="F572" s="123"/>
      <c r="G572" s="118"/>
      <c r="H572" s="118"/>
      <c r="I572" s="7"/>
    </row>
    <row r="573" spans="1:9" ht="15.75" x14ac:dyDescent="0.25">
      <c r="A573" s="6"/>
      <c r="B573" s="245"/>
      <c r="C573" s="247"/>
      <c r="D573" s="118"/>
      <c r="E573" s="118"/>
      <c r="F573" s="118"/>
      <c r="G573" s="118"/>
      <c r="H573" s="118"/>
      <c r="I573" s="9"/>
    </row>
    <row r="574" spans="1:9" ht="15.75" x14ac:dyDescent="0.25">
      <c r="A574" s="6"/>
      <c r="B574" s="245"/>
      <c r="C574" s="247"/>
      <c r="D574" s="118"/>
      <c r="E574" s="118"/>
      <c r="F574" s="118"/>
      <c r="G574" s="118"/>
      <c r="H574" s="118"/>
      <c r="I574" s="7"/>
    </row>
    <row r="575" spans="1:9" ht="15.75" x14ac:dyDescent="0.25">
      <c r="A575" s="6"/>
      <c r="B575" s="245"/>
      <c r="C575" s="247"/>
      <c r="D575" s="118"/>
      <c r="E575" s="118"/>
      <c r="F575" s="118"/>
      <c r="G575" s="118"/>
      <c r="H575" s="118"/>
      <c r="I575" s="7"/>
    </row>
    <row r="576" spans="1:9" ht="15.75" x14ac:dyDescent="0.25">
      <c r="A576" s="6"/>
      <c r="B576" s="245"/>
      <c r="C576" s="247"/>
      <c r="D576" s="118"/>
      <c r="E576" s="118"/>
      <c r="F576" s="118"/>
      <c r="G576" s="118"/>
      <c r="H576" s="118"/>
      <c r="I576" s="7"/>
    </row>
    <row r="577" spans="1:9" ht="15.75" x14ac:dyDescent="0.25">
      <c r="A577" s="6"/>
      <c r="B577" s="245"/>
      <c r="C577" s="247"/>
      <c r="D577" s="118"/>
      <c r="E577" s="118"/>
      <c r="F577" s="118"/>
      <c r="G577" s="118"/>
      <c r="H577" s="118"/>
      <c r="I577" s="9"/>
    </row>
    <row r="578" spans="1:9" ht="15.75" x14ac:dyDescent="0.25">
      <c r="A578" s="6"/>
      <c r="B578" s="245"/>
      <c r="C578" s="247"/>
      <c r="D578" s="118"/>
      <c r="E578" s="118"/>
      <c r="F578" s="118"/>
      <c r="G578" s="118"/>
      <c r="H578" s="118"/>
      <c r="I578" s="9"/>
    </row>
    <row r="579" spans="1:9" ht="15.75" x14ac:dyDescent="0.25">
      <c r="A579" s="6"/>
      <c r="B579" s="245"/>
      <c r="C579" s="247"/>
      <c r="D579" s="118"/>
      <c r="E579" s="118"/>
      <c r="F579" s="118"/>
      <c r="G579" s="118"/>
      <c r="H579" s="118"/>
      <c r="I579" s="9"/>
    </row>
    <row r="580" spans="1:9" ht="15.75" x14ac:dyDescent="0.25">
      <c r="A580" s="6"/>
      <c r="B580" s="245"/>
      <c r="C580" s="247"/>
      <c r="D580" s="118"/>
      <c r="E580" s="118"/>
      <c r="F580" s="118"/>
      <c r="G580" s="118"/>
      <c r="H580" s="118"/>
      <c r="I580" s="9"/>
    </row>
    <row r="581" spans="1:9" ht="15.75" x14ac:dyDescent="0.25">
      <c r="A581" s="6"/>
      <c r="B581" s="245"/>
      <c r="C581" s="247"/>
      <c r="D581" s="118"/>
      <c r="E581" s="118"/>
      <c r="F581" s="118"/>
      <c r="G581" s="118"/>
      <c r="H581" s="118"/>
      <c r="I581" s="9"/>
    </row>
    <row r="582" spans="1:9" ht="15.75" x14ac:dyDescent="0.25">
      <c r="A582" s="6"/>
      <c r="B582" s="245"/>
      <c r="C582" s="247"/>
      <c r="D582" s="118"/>
      <c r="E582" s="118"/>
      <c r="F582" s="118"/>
      <c r="G582" s="118"/>
      <c r="H582" s="118"/>
      <c r="I582" s="9"/>
    </row>
    <row r="583" spans="1:9" ht="15.75" x14ac:dyDescent="0.25">
      <c r="A583" s="6"/>
      <c r="B583" s="245"/>
      <c r="C583" s="247"/>
      <c r="D583" s="118"/>
      <c r="E583" s="118"/>
      <c r="F583" s="118"/>
      <c r="G583" s="118"/>
      <c r="H583" s="118"/>
      <c r="I583" s="9"/>
    </row>
    <row r="584" spans="1:9" ht="15.75" x14ac:dyDescent="0.25">
      <c r="A584" s="6"/>
      <c r="B584" s="245"/>
      <c r="C584" s="247"/>
      <c r="D584" s="118"/>
      <c r="E584" s="118"/>
      <c r="F584" s="118"/>
      <c r="G584" s="118"/>
      <c r="H584" s="118"/>
      <c r="I584" s="9"/>
    </row>
    <row r="585" spans="1:9" ht="15.75" x14ac:dyDescent="0.25">
      <c r="A585" s="6"/>
      <c r="B585" s="245"/>
      <c r="C585" s="247"/>
      <c r="D585" s="118"/>
      <c r="E585" s="118"/>
      <c r="F585" s="118"/>
      <c r="G585" s="118"/>
      <c r="H585" s="118"/>
      <c r="I585" s="9"/>
    </row>
    <row r="586" spans="1:9" ht="18.75" x14ac:dyDescent="0.3">
      <c r="A586" s="6"/>
      <c r="B586" s="245"/>
      <c r="C586" s="247"/>
      <c r="D586" s="5"/>
      <c r="E586" s="5"/>
      <c r="F586" s="5"/>
      <c r="G586" s="10"/>
      <c r="H586" s="5"/>
      <c r="I586" s="11"/>
    </row>
    <row r="587" spans="1:9" ht="18.75" x14ac:dyDescent="0.3">
      <c r="A587" s="12"/>
      <c r="B587" s="245"/>
      <c r="C587" s="247"/>
      <c r="D587" s="13"/>
      <c r="E587" s="13"/>
      <c r="F587" s="13"/>
      <c r="G587" s="14"/>
      <c r="H587" s="13"/>
      <c r="I587" s="15"/>
    </row>
    <row r="588" spans="1:9" ht="18.75" x14ac:dyDescent="0.3">
      <c r="A588" s="12"/>
      <c r="B588" s="245"/>
      <c r="C588" s="247"/>
      <c r="D588" s="13"/>
      <c r="E588" s="13"/>
      <c r="F588" s="13"/>
      <c r="G588" s="14"/>
      <c r="H588" s="13"/>
      <c r="I588" s="15"/>
    </row>
    <row r="589" spans="1:9" ht="19.5" thickBot="1" x14ac:dyDescent="0.35">
      <c r="A589" s="12"/>
      <c r="B589" s="248"/>
      <c r="C589" s="249"/>
      <c r="D589" s="16"/>
      <c r="E589" s="16"/>
      <c r="F589" s="16"/>
      <c r="G589" s="14"/>
      <c r="H589" s="16"/>
      <c r="I589" s="15"/>
    </row>
    <row r="590" spans="1:9" ht="16.5" thickBot="1" x14ac:dyDescent="0.3">
      <c r="A590" s="17">
        <f>SUM(A567:A589)</f>
        <v>25</v>
      </c>
      <c r="B590" s="241"/>
      <c r="C590" s="242"/>
      <c r="D590" s="18">
        <f>SUM(D567:D589)</f>
        <v>0</v>
      </c>
      <c r="E590" s="19">
        <f>SUM(E567:E589)</f>
        <v>0</v>
      </c>
      <c r="F590" s="20">
        <f>SUM(F567:F589)</f>
        <v>127.5</v>
      </c>
      <c r="G590" s="21">
        <f>SUM(G567:G589)</f>
        <v>0</v>
      </c>
      <c r="H590" s="22">
        <f>SUM(H567:H589)</f>
        <v>533</v>
      </c>
      <c r="I590" s="115"/>
    </row>
    <row r="591" spans="1:9" ht="16.5" thickBot="1" x14ac:dyDescent="0.3">
      <c r="A591" s="17"/>
      <c r="B591" s="243">
        <f>H590-A590</f>
        <v>508</v>
      </c>
      <c r="C591" s="244"/>
      <c r="D591" s="116" t="s">
        <v>11</v>
      </c>
      <c r="E591" s="245">
        <f>H590+G590+F590+E590+D590</f>
        <v>660.5</v>
      </c>
      <c r="F591" s="246"/>
      <c r="G591" s="246"/>
      <c r="H591" s="247"/>
      <c r="I591" s="115" t="s">
        <v>12</v>
      </c>
    </row>
    <row r="610" spans="1:9" ht="15.75" thickBot="1" x14ac:dyDescent="0.3"/>
    <row r="611" spans="1:9" ht="23.25" thickBot="1" x14ac:dyDescent="0.35">
      <c r="A611" s="251" t="s">
        <v>136</v>
      </c>
      <c r="B611" s="252"/>
      <c r="C611" s="252"/>
      <c r="D611" s="252"/>
      <c r="E611" s="252"/>
      <c r="F611" s="252"/>
      <c r="G611" s="252"/>
      <c r="H611" s="252"/>
      <c r="I611" s="253"/>
    </row>
    <row r="612" spans="1:9" ht="19.5" thickBot="1" x14ac:dyDescent="0.35">
      <c r="A612" s="254" t="s">
        <v>1</v>
      </c>
      <c r="B612" s="255"/>
      <c r="C612" s="255"/>
      <c r="D612" s="254" t="s">
        <v>2</v>
      </c>
      <c r="E612" s="255"/>
      <c r="F612" s="255"/>
      <c r="G612" s="255"/>
      <c r="H612" s="255"/>
      <c r="I612" s="256"/>
    </row>
    <row r="613" spans="1:9" ht="19.5" thickBot="1" x14ac:dyDescent="0.35">
      <c r="A613" s="1" t="s">
        <v>3</v>
      </c>
      <c r="B613" s="257" t="s">
        <v>4</v>
      </c>
      <c r="C613" s="258"/>
      <c r="D613" s="2" t="s">
        <v>5</v>
      </c>
      <c r="E613" s="2" t="s">
        <v>6</v>
      </c>
      <c r="F613" s="2" t="s">
        <v>7</v>
      </c>
      <c r="G613" s="2" t="s">
        <v>8</v>
      </c>
      <c r="H613" s="2" t="s">
        <v>9</v>
      </c>
      <c r="I613" s="122" t="s">
        <v>10</v>
      </c>
    </row>
    <row r="614" spans="1:9" ht="16.5" thickBot="1" x14ac:dyDescent="0.3">
      <c r="A614" s="123">
        <v>10</v>
      </c>
      <c r="B614" s="259" t="s">
        <v>135</v>
      </c>
      <c r="C614" s="259"/>
      <c r="D614" s="123"/>
      <c r="E614" s="123"/>
      <c r="F614" s="121"/>
      <c r="G614" s="123"/>
      <c r="H614" s="121">
        <v>530</v>
      </c>
      <c r="I614" s="26" t="s">
        <v>134</v>
      </c>
    </row>
    <row r="615" spans="1:9" ht="15.75" x14ac:dyDescent="0.25">
      <c r="A615" s="6">
        <f>520-350</f>
        <v>170</v>
      </c>
      <c r="B615" s="260" t="s">
        <v>97</v>
      </c>
      <c r="C615" s="261"/>
      <c r="D615" s="123"/>
      <c r="E615" s="123"/>
      <c r="F615" s="123"/>
      <c r="G615" s="123"/>
      <c r="H615" s="123">
        <v>70</v>
      </c>
      <c r="I615" s="37" t="s">
        <v>137</v>
      </c>
    </row>
    <row r="616" spans="1:9" ht="15.75" x14ac:dyDescent="0.25">
      <c r="A616" s="6"/>
      <c r="B616" s="245"/>
      <c r="C616" s="247"/>
      <c r="D616" s="123"/>
      <c r="E616" s="123"/>
      <c r="F616" s="123"/>
      <c r="G616" s="123"/>
      <c r="H616" s="123">
        <f>490*2-50</f>
        <v>930</v>
      </c>
      <c r="I616" s="7" t="s">
        <v>142</v>
      </c>
    </row>
    <row r="617" spans="1:9" ht="15.75" x14ac:dyDescent="0.25">
      <c r="A617" s="6"/>
      <c r="B617" s="245"/>
      <c r="C617" s="247"/>
      <c r="D617" s="123"/>
      <c r="E617" s="123"/>
      <c r="F617" s="123"/>
      <c r="G617" s="123"/>
      <c r="H617" s="123"/>
      <c r="I617" s="7"/>
    </row>
    <row r="618" spans="1:9" ht="15.75" x14ac:dyDescent="0.25">
      <c r="A618" s="6"/>
      <c r="B618" s="245"/>
      <c r="C618" s="247"/>
      <c r="D618" s="123"/>
      <c r="E618" s="123"/>
      <c r="F618" s="123"/>
      <c r="G618" s="123"/>
      <c r="H618" s="123"/>
      <c r="I618" s="7" t="s">
        <v>138</v>
      </c>
    </row>
    <row r="619" spans="1:9" ht="15.75" x14ac:dyDescent="0.25">
      <c r="A619" s="8"/>
      <c r="B619" s="250"/>
      <c r="C619" s="247"/>
      <c r="D619" s="123"/>
      <c r="E619" s="123"/>
      <c r="F619" s="123"/>
      <c r="G619" s="123"/>
      <c r="H619" s="123"/>
      <c r="I619" s="7"/>
    </row>
    <row r="620" spans="1:9" ht="15.75" x14ac:dyDescent="0.25">
      <c r="A620" s="6"/>
      <c r="B620" s="245"/>
      <c r="C620" s="247"/>
      <c r="D620" s="123"/>
      <c r="E620" s="123"/>
      <c r="F620" s="123"/>
      <c r="G620" s="123"/>
      <c r="H620" s="123"/>
      <c r="I620" s="9"/>
    </row>
    <row r="621" spans="1:9" ht="15.75" x14ac:dyDescent="0.25">
      <c r="A621" s="6"/>
      <c r="B621" s="245"/>
      <c r="C621" s="247"/>
      <c r="D621" s="123"/>
      <c r="E621" s="123"/>
      <c r="F621" s="123"/>
      <c r="G621" s="123"/>
      <c r="H621" s="123"/>
      <c r="I621" s="7"/>
    </row>
    <row r="622" spans="1:9" ht="15.75" x14ac:dyDescent="0.25">
      <c r="A622" s="6"/>
      <c r="B622" s="245"/>
      <c r="C622" s="247"/>
      <c r="D622" s="123"/>
      <c r="E622" s="123"/>
      <c r="F622" s="123"/>
      <c r="G622" s="123"/>
      <c r="H622" s="123"/>
      <c r="I622" s="7"/>
    </row>
    <row r="623" spans="1:9" ht="15.75" x14ac:dyDescent="0.25">
      <c r="A623" s="6"/>
      <c r="B623" s="245"/>
      <c r="C623" s="247"/>
      <c r="D623" s="123"/>
      <c r="E623" s="123"/>
      <c r="F623" s="123"/>
      <c r="G623" s="123"/>
      <c r="H623" s="123"/>
      <c r="I623" s="7"/>
    </row>
    <row r="624" spans="1:9" ht="15.75" x14ac:dyDescent="0.25">
      <c r="A624" s="6"/>
      <c r="B624" s="245"/>
      <c r="C624" s="247"/>
      <c r="D624" s="123"/>
      <c r="E624" s="123"/>
      <c r="F624" s="123"/>
      <c r="G624" s="123"/>
      <c r="H624" s="123"/>
      <c r="I624" s="9"/>
    </row>
    <row r="625" spans="1:9" ht="15.75" x14ac:dyDescent="0.25">
      <c r="A625" s="6"/>
      <c r="B625" s="245"/>
      <c r="C625" s="247"/>
      <c r="D625" s="123"/>
      <c r="E625" s="123"/>
      <c r="F625" s="123"/>
      <c r="G625" s="123"/>
      <c r="H625" s="123"/>
      <c r="I625" s="9"/>
    </row>
    <row r="626" spans="1:9" ht="15.75" x14ac:dyDescent="0.25">
      <c r="A626" s="6"/>
      <c r="B626" s="245"/>
      <c r="C626" s="247"/>
      <c r="D626" s="123"/>
      <c r="E626" s="123"/>
      <c r="F626" s="123"/>
      <c r="G626" s="123"/>
      <c r="H626" s="123"/>
      <c r="I626" s="9"/>
    </row>
    <row r="627" spans="1:9" ht="15.75" x14ac:dyDescent="0.25">
      <c r="A627" s="6"/>
      <c r="B627" s="245"/>
      <c r="C627" s="247"/>
      <c r="D627" s="123"/>
      <c r="E627" s="123"/>
      <c r="F627" s="123"/>
      <c r="G627" s="123"/>
      <c r="H627" s="123"/>
      <c r="I627" s="9"/>
    </row>
    <row r="628" spans="1:9" ht="15.75" x14ac:dyDescent="0.25">
      <c r="A628" s="6"/>
      <c r="B628" s="245"/>
      <c r="C628" s="247"/>
      <c r="D628" s="123"/>
      <c r="E628" s="123"/>
      <c r="F628" s="123"/>
      <c r="G628" s="123"/>
      <c r="H628" s="123"/>
      <c r="I628" s="9"/>
    </row>
    <row r="629" spans="1:9" ht="15.75" x14ac:dyDescent="0.25">
      <c r="A629" s="6"/>
      <c r="B629" s="245"/>
      <c r="C629" s="247"/>
      <c r="D629" s="123"/>
      <c r="E629" s="123"/>
      <c r="F629" s="123"/>
      <c r="G629" s="123"/>
      <c r="H629" s="123"/>
      <c r="I629" s="9"/>
    </row>
    <row r="630" spans="1:9" ht="15.75" x14ac:dyDescent="0.25">
      <c r="A630" s="6"/>
      <c r="B630" s="245"/>
      <c r="C630" s="247"/>
      <c r="D630" s="123"/>
      <c r="E630" s="123"/>
      <c r="F630" s="123"/>
      <c r="G630" s="123"/>
      <c r="H630" s="123"/>
      <c r="I630" s="9"/>
    </row>
    <row r="631" spans="1:9" ht="15.75" x14ac:dyDescent="0.25">
      <c r="A631" s="6"/>
      <c r="B631" s="245"/>
      <c r="C631" s="247"/>
      <c r="D631" s="123"/>
      <c r="E631" s="123"/>
      <c r="F631" s="123"/>
      <c r="G631" s="123"/>
      <c r="H631" s="123"/>
      <c r="I631" s="9"/>
    </row>
    <row r="632" spans="1:9" ht="15.75" x14ac:dyDescent="0.25">
      <c r="A632" s="6"/>
      <c r="B632" s="245"/>
      <c r="C632" s="247"/>
      <c r="D632" s="123"/>
      <c r="E632" s="123"/>
      <c r="F632" s="123"/>
      <c r="G632" s="123"/>
      <c r="H632" s="123"/>
      <c r="I632" s="9"/>
    </row>
    <row r="633" spans="1:9" ht="18.75" x14ac:dyDescent="0.3">
      <c r="A633" s="6"/>
      <c r="B633" s="245"/>
      <c r="C633" s="247"/>
      <c r="D633" s="5"/>
      <c r="E633" s="5"/>
      <c r="F633" s="5"/>
      <c r="G633" s="10"/>
      <c r="H633" s="5"/>
      <c r="I633" s="11"/>
    </row>
    <row r="634" spans="1:9" ht="18.75" x14ac:dyDescent="0.3">
      <c r="A634" s="12"/>
      <c r="B634" s="245"/>
      <c r="C634" s="247"/>
      <c r="D634" s="13"/>
      <c r="E634" s="13"/>
      <c r="F634" s="13"/>
      <c r="G634" s="14"/>
      <c r="H634" s="13"/>
      <c r="I634" s="15"/>
    </row>
    <row r="635" spans="1:9" ht="18.75" x14ac:dyDescent="0.3">
      <c r="A635" s="12"/>
      <c r="B635" s="245"/>
      <c r="C635" s="247"/>
      <c r="D635" s="13"/>
      <c r="E635" s="13"/>
      <c r="F635" s="13"/>
      <c r="G635" s="14"/>
      <c r="H635" s="13"/>
      <c r="I635" s="15"/>
    </row>
    <row r="636" spans="1:9" ht="19.5" thickBot="1" x14ac:dyDescent="0.35">
      <c r="A636" s="12"/>
      <c r="B636" s="248"/>
      <c r="C636" s="249"/>
      <c r="D636" s="16"/>
      <c r="E636" s="16"/>
      <c r="F636" s="16"/>
      <c r="G636" s="14"/>
      <c r="H636" s="16"/>
      <c r="I636" s="15"/>
    </row>
    <row r="637" spans="1:9" ht="16.5" thickBot="1" x14ac:dyDescent="0.3">
      <c r="A637" s="17">
        <f>SUM(A614:A636)</f>
        <v>180</v>
      </c>
      <c r="B637" s="241"/>
      <c r="C637" s="242"/>
      <c r="D637" s="18">
        <f>SUM(D614:D636)</f>
        <v>0</v>
      </c>
      <c r="E637" s="19">
        <f>SUM(E614:E636)</f>
        <v>0</v>
      </c>
      <c r="F637" s="20">
        <f>SUM(F614:F636)</f>
        <v>0</v>
      </c>
      <c r="G637" s="21">
        <f>SUM(G614:G636)</f>
        <v>0</v>
      </c>
      <c r="H637" s="22">
        <f>SUM(H614:H636)</f>
        <v>1530</v>
      </c>
      <c r="I637" s="119"/>
    </row>
    <row r="638" spans="1:9" ht="16.5" thickBot="1" x14ac:dyDescent="0.3">
      <c r="A638" s="17"/>
      <c r="B638" s="243">
        <f>H637-A637</f>
        <v>1350</v>
      </c>
      <c r="C638" s="244"/>
      <c r="D638" s="120" t="s">
        <v>11</v>
      </c>
      <c r="E638" s="245">
        <f>H637+G637+F637+E637+D637</f>
        <v>1530</v>
      </c>
      <c r="F638" s="246"/>
      <c r="G638" s="246"/>
      <c r="H638" s="247"/>
      <c r="I638" s="119" t="s">
        <v>12</v>
      </c>
    </row>
    <row r="657" spans="1:9" ht="15.75" thickBot="1" x14ac:dyDescent="0.3"/>
    <row r="658" spans="1:9" ht="23.25" thickBot="1" x14ac:dyDescent="0.35">
      <c r="A658" s="251" t="s">
        <v>139</v>
      </c>
      <c r="B658" s="252"/>
      <c r="C658" s="252"/>
      <c r="D658" s="252"/>
      <c r="E658" s="252"/>
      <c r="F658" s="252"/>
      <c r="G658" s="252"/>
      <c r="H658" s="252"/>
      <c r="I658" s="253"/>
    </row>
    <row r="659" spans="1:9" ht="19.5" thickBot="1" x14ac:dyDescent="0.35">
      <c r="A659" s="254" t="s">
        <v>1</v>
      </c>
      <c r="B659" s="255"/>
      <c r="C659" s="255"/>
      <c r="D659" s="254" t="s">
        <v>2</v>
      </c>
      <c r="E659" s="255"/>
      <c r="F659" s="255"/>
      <c r="G659" s="255"/>
      <c r="H659" s="255"/>
      <c r="I659" s="256"/>
    </row>
    <row r="660" spans="1:9" ht="19.5" thickBot="1" x14ac:dyDescent="0.35">
      <c r="A660" s="1" t="s">
        <v>3</v>
      </c>
      <c r="B660" s="257" t="s">
        <v>4</v>
      </c>
      <c r="C660" s="258"/>
      <c r="D660" s="2" t="s">
        <v>5</v>
      </c>
      <c r="E660" s="2" t="s">
        <v>6</v>
      </c>
      <c r="F660" s="2" t="s">
        <v>7</v>
      </c>
      <c r="G660" s="2" t="s">
        <v>8</v>
      </c>
      <c r="H660" s="2" t="s">
        <v>9</v>
      </c>
      <c r="I660" s="128" t="s">
        <v>10</v>
      </c>
    </row>
    <row r="661" spans="1:9" ht="16.5" thickBot="1" x14ac:dyDescent="0.3">
      <c r="A661" s="129"/>
      <c r="B661" s="259"/>
      <c r="C661" s="259"/>
      <c r="D661" s="129"/>
      <c r="E661" s="129"/>
      <c r="F661" s="125"/>
      <c r="G661" s="129"/>
      <c r="H661" s="125">
        <v>70</v>
      </c>
      <c r="I661" s="26" t="s">
        <v>141</v>
      </c>
    </row>
    <row r="662" spans="1:9" ht="15.75" x14ac:dyDescent="0.25">
      <c r="A662" s="6"/>
      <c r="B662" s="260"/>
      <c r="C662" s="261"/>
      <c r="D662" s="129"/>
      <c r="E662" s="129"/>
      <c r="F662" s="129"/>
      <c r="G662" s="129"/>
      <c r="H662" s="129"/>
      <c r="I662" s="37"/>
    </row>
    <row r="663" spans="1:9" ht="15.75" x14ac:dyDescent="0.25">
      <c r="A663" s="6"/>
      <c r="B663" s="245"/>
      <c r="C663" s="247"/>
      <c r="D663" s="129"/>
      <c r="E663" s="129"/>
      <c r="F663" s="129"/>
      <c r="G663" s="129"/>
      <c r="H663" s="129"/>
      <c r="I663" s="7"/>
    </row>
    <row r="664" spans="1:9" ht="15.75" x14ac:dyDescent="0.25">
      <c r="A664" s="6"/>
      <c r="B664" s="245"/>
      <c r="C664" s="247"/>
      <c r="D664" s="129"/>
      <c r="E664" s="129"/>
      <c r="F664" s="129"/>
      <c r="G664" s="129"/>
      <c r="H664" s="129"/>
      <c r="I664" s="7"/>
    </row>
    <row r="665" spans="1:9" ht="15.75" x14ac:dyDescent="0.25">
      <c r="A665" s="6"/>
      <c r="B665" s="245"/>
      <c r="C665" s="247"/>
      <c r="D665" s="129"/>
      <c r="E665" s="129"/>
      <c r="F665" s="129"/>
      <c r="G665" s="129"/>
      <c r="H665" s="129"/>
      <c r="I665" s="7" t="s">
        <v>138</v>
      </c>
    </row>
    <row r="666" spans="1:9" ht="15.75" x14ac:dyDescent="0.25">
      <c r="A666" s="8"/>
      <c r="B666" s="250"/>
      <c r="C666" s="247"/>
      <c r="D666" s="129"/>
      <c r="E666" s="129"/>
      <c r="F666" s="129"/>
      <c r="G666" s="129"/>
      <c r="H666" s="129"/>
      <c r="I666" s="7"/>
    </row>
    <row r="667" spans="1:9" ht="15.75" x14ac:dyDescent="0.25">
      <c r="A667" s="6"/>
      <c r="B667" s="245"/>
      <c r="C667" s="247"/>
      <c r="D667" s="129"/>
      <c r="E667" s="129"/>
      <c r="F667" s="129"/>
      <c r="G667" s="129"/>
      <c r="H667" s="129"/>
      <c r="I667" s="9"/>
    </row>
    <row r="668" spans="1:9" ht="15.75" x14ac:dyDescent="0.25">
      <c r="A668" s="6"/>
      <c r="B668" s="245"/>
      <c r="C668" s="247"/>
      <c r="D668" s="129"/>
      <c r="E668" s="129"/>
      <c r="F668" s="129"/>
      <c r="G668" s="129"/>
      <c r="H668" s="129"/>
      <c r="I668" s="7"/>
    </row>
    <row r="669" spans="1:9" ht="15.75" x14ac:dyDescent="0.25">
      <c r="A669" s="6"/>
      <c r="B669" s="245"/>
      <c r="C669" s="247"/>
      <c r="D669" s="129"/>
      <c r="E669" s="129"/>
      <c r="F669" s="129"/>
      <c r="G669" s="129"/>
      <c r="H669" s="129"/>
      <c r="I669" s="7"/>
    </row>
    <row r="670" spans="1:9" ht="15.75" x14ac:dyDescent="0.25">
      <c r="A670" s="6"/>
      <c r="B670" s="245"/>
      <c r="C670" s="247"/>
      <c r="D670" s="129"/>
      <c r="E670" s="129"/>
      <c r="F670" s="129"/>
      <c r="G670" s="129"/>
      <c r="H670" s="129"/>
      <c r="I670" s="7"/>
    </row>
    <row r="671" spans="1:9" ht="15.75" x14ac:dyDescent="0.25">
      <c r="A671" s="6"/>
      <c r="B671" s="245"/>
      <c r="C671" s="247"/>
      <c r="D671" s="129"/>
      <c r="E671" s="129"/>
      <c r="F671" s="129"/>
      <c r="G671" s="129"/>
      <c r="H671" s="129"/>
      <c r="I671" s="9"/>
    </row>
    <row r="672" spans="1:9" ht="15.75" x14ac:dyDescent="0.25">
      <c r="A672" s="6"/>
      <c r="B672" s="245"/>
      <c r="C672" s="247"/>
      <c r="D672" s="129"/>
      <c r="E672" s="129"/>
      <c r="F672" s="129"/>
      <c r="G672" s="129"/>
      <c r="H672" s="129"/>
      <c r="I672" s="9"/>
    </row>
    <row r="673" spans="1:9" ht="15.75" x14ac:dyDescent="0.25">
      <c r="A673" s="6"/>
      <c r="B673" s="245"/>
      <c r="C673" s="247"/>
      <c r="D673" s="129"/>
      <c r="E673" s="129"/>
      <c r="F673" s="129"/>
      <c r="G673" s="129"/>
      <c r="H673" s="129"/>
      <c r="I673" s="9"/>
    </row>
    <row r="674" spans="1:9" ht="15.75" x14ac:dyDescent="0.25">
      <c r="A674" s="6"/>
      <c r="B674" s="245"/>
      <c r="C674" s="247"/>
      <c r="D674" s="129"/>
      <c r="E674" s="129"/>
      <c r="F674" s="129"/>
      <c r="G674" s="129"/>
      <c r="H674" s="129"/>
      <c r="I674" s="9"/>
    </row>
    <row r="675" spans="1:9" ht="15.75" x14ac:dyDescent="0.25">
      <c r="A675" s="6"/>
      <c r="B675" s="245"/>
      <c r="C675" s="247"/>
      <c r="D675" s="129"/>
      <c r="E675" s="129"/>
      <c r="F675" s="129"/>
      <c r="G675" s="129"/>
      <c r="H675" s="129"/>
      <c r="I675" s="9"/>
    </row>
    <row r="676" spans="1:9" ht="15.75" x14ac:dyDescent="0.25">
      <c r="A676" s="6"/>
      <c r="B676" s="245"/>
      <c r="C676" s="247"/>
      <c r="D676" s="129"/>
      <c r="E676" s="129"/>
      <c r="F676" s="129"/>
      <c r="G676" s="129"/>
      <c r="H676" s="129"/>
      <c r="I676" s="9"/>
    </row>
    <row r="677" spans="1:9" ht="15.75" x14ac:dyDescent="0.25">
      <c r="A677" s="6"/>
      <c r="B677" s="245"/>
      <c r="C677" s="247"/>
      <c r="D677" s="129"/>
      <c r="E677" s="129"/>
      <c r="F677" s="129"/>
      <c r="G677" s="129"/>
      <c r="H677" s="129"/>
      <c r="I677" s="9"/>
    </row>
    <row r="678" spans="1:9" ht="15.75" x14ac:dyDescent="0.25">
      <c r="A678" s="6"/>
      <c r="B678" s="245"/>
      <c r="C678" s="247"/>
      <c r="D678" s="129"/>
      <c r="E678" s="129"/>
      <c r="F678" s="129"/>
      <c r="G678" s="129"/>
      <c r="H678" s="129"/>
      <c r="I678" s="9"/>
    </row>
    <row r="679" spans="1:9" ht="15.75" x14ac:dyDescent="0.25">
      <c r="A679" s="6"/>
      <c r="B679" s="245"/>
      <c r="C679" s="247"/>
      <c r="D679" s="129"/>
      <c r="E679" s="129"/>
      <c r="F679" s="129"/>
      <c r="G679" s="129"/>
      <c r="H679" s="129"/>
      <c r="I679" s="9"/>
    </row>
    <row r="680" spans="1:9" ht="18.75" x14ac:dyDescent="0.3">
      <c r="A680" s="6"/>
      <c r="B680" s="245"/>
      <c r="C680" s="247"/>
      <c r="D680" s="5"/>
      <c r="E680" s="5"/>
      <c r="F680" s="5"/>
      <c r="G680" s="10"/>
      <c r="H680" s="5"/>
      <c r="I680" s="11"/>
    </row>
    <row r="681" spans="1:9" ht="18.75" x14ac:dyDescent="0.3">
      <c r="A681" s="12"/>
      <c r="B681" s="245"/>
      <c r="C681" s="247"/>
      <c r="D681" s="13"/>
      <c r="E681" s="13"/>
      <c r="F681" s="13"/>
      <c r="G681" s="14"/>
      <c r="H681" s="13"/>
      <c r="I681" s="15"/>
    </row>
    <row r="682" spans="1:9" ht="18.75" x14ac:dyDescent="0.3">
      <c r="A682" s="12"/>
      <c r="B682" s="245"/>
      <c r="C682" s="247"/>
      <c r="D682" s="13"/>
      <c r="E682" s="13"/>
      <c r="F682" s="13"/>
      <c r="G682" s="14"/>
      <c r="H682" s="13"/>
      <c r="I682" s="15"/>
    </row>
    <row r="683" spans="1:9" ht="19.5" thickBot="1" x14ac:dyDescent="0.35">
      <c r="A683" s="12"/>
      <c r="B683" s="248"/>
      <c r="C683" s="249"/>
      <c r="D683" s="16"/>
      <c r="E683" s="16"/>
      <c r="F683" s="16"/>
      <c r="G683" s="14"/>
      <c r="H683" s="16"/>
      <c r="I683" s="15"/>
    </row>
    <row r="684" spans="1:9" ht="16.5" thickBot="1" x14ac:dyDescent="0.3">
      <c r="A684" s="17">
        <f>SUM(A661:A683)</f>
        <v>0</v>
      </c>
      <c r="B684" s="241"/>
      <c r="C684" s="242"/>
      <c r="D684" s="18">
        <f>SUM(D661:D683)</f>
        <v>0</v>
      </c>
      <c r="E684" s="19">
        <f>SUM(E661:E683)</f>
        <v>0</v>
      </c>
      <c r="F684" s="20">
        <f>SUM(F661:F683)</f>
        <v>0</v>
      </c>
      <c r="G684" s="21">
        <f>SUM(G661:G683)</f>
        <v>0</v>
      </c>
      <c r="H684" s="22">
        <f>SUM(H661:H683)</f>
        <v>70</v>
      </c>
      <c r="I684" s="126"/>
    </row>
    <row r="685" spans="1:9" ht="16.5" thickBot="1" x14ac:dyDescent="0.3">
      <c r="A685" s="17"/>
      <c r="B685" s="243">
        <f>H684-A684</f>
        <v>70</v>
      </c>
      <c r="C685" s="244"/>
      <c r="D685" s="127" t="s">
        <v>11</v>
      </c>
      <c r="E685" s="245">
        <f>H684+G684+F684+E684+D684</f>
        <v>70</v>
      </c>
      <c r="F685" s="246"/>
      <c r="G685" s="246"/>
      <c r="H685" s="247"/>
      <c r="I685" s="126" t="s">
        <v>12</v>
      </c>
    </row>
    <row r="704" ht="15.75" thickBot="1" x14ac:dyDescent="0.3"/>
    <row r="705" spans="1:9" ht="23.25" thickBot="1" x14ac:dyDescent="0.35">
      <c r="A705" s="251" t="s">
        <v>140</v>
      </c>
      <c r="B705" s="252"/>
      <c r="C705" s="252"/>
      <c r="D705" s="252"/>
      <c r="E705" s="252"/>
      <c r="F705" s="252"/>
      <c r="G705" s="252"/>
      <c r="H705" s="252"/>
      <c r="I705" s="253"/>
    </row>
    <row r="706" spans="1:9" ht="19.5" thickBot="1" x14ac:dyDescent="0.35">
      <c r="A706" s="254" t="s">
        <v>1</v>
      </c>
      <c r="B706" s="255"/>
      <c r="C706" s="255"/>
      <c r="D706" s="254" t="s">
        <v>2</v>
      </c>
      <c r="E706" s="255"/>
      <c r="F706" s="255"/>
      <c r="G706" s="255"/>
      <c r="H706" s="255"/>
      <c r="I706" s="256"/>
    </row>
    <row r="707" spans="1:9" ht="19.5" thickBot="1" x14ac:dyDescent="0.35">
      <c r="A707" s="1" t="s">
        <v>3</v>
      </c>
      <c r="B707" s="257" t="s">
        <v>4</v>
      </c>
      <c r="C707" s="258"/>
      <c r="D707" s="2" t="s">
        <v>5</v>
      </c>
      <c r="E707" s="2" t="s">
        <v>6</v>
      </c>
      <c r="F707" s="2" t="s">
        <v>7</v>
      </c>
      <c r="G707" s="2" t="s">
        <v>8</v>
      </c>
      <c r="H707" s="2" t="s">
        <v>9</v>
      </c>
      <c r="I707" s="128" t="s">
        <v>10</v>
      </c>
    </row>
    <row r="708" spans="1:9" ht="16.5" thickBot="1" x14ac:dyDescent="0.3">
      <c r="A708" s="129">
        <v>100</v>
      </c>
      <c r="B708" s="259" t="s">
        <v>147</v>
      </c>
      <c r="C708" s="259"/>
      <c r="D708" s="129"/>
      <c r="E708" s="129"/>
      <c r="F708" s="125"/>
      <c r="G708" s="129"/>
      <c r="H708" s="125">
        <v>450</v>
      </c>
      <c r="I708" s="26" t="s">
        <v>143</v>
      </c>
    </row>
    <row r="709" spans="1:9" ht="15.75" x14ac:dyDescent="0.25">
      <c r="A709" s="6"/>
      <c r="B709" s="260"/>
      <c r="C709" s="261"/>
      <c r="D709" s="129"/>
      <c r="E709" s="129"/>
      <c r="F709" s="129"/>
      <c r="G709" s="129"/>
      <c r="H709" s="129">
        <v>350</v>
      </c>
      <c r="I709" s="37" t="s">
        <v>144</v>
      </c>
    </row>
    <row r="710" spans="1:9" ht="15.75" x14ac:dyDescent="0.25">
      <c r="A710" s="6"/>
      <c r="B710" s="245"/>
      <c r="C710" s="247"/>
      <c r="D710" s="129"/>
      <c r="E710" s="129"/>
      <c r="F710" s="140">
        <v>390</v>
      </c>
      <c r="G710" s="129"/>
      <c r="H710" s="129"/>
      <c r="I710" s="7" t="s">
        <v>145</v>
      </c>
    </row>
    <row r="711" spans="1:9" ht="15.75" x14ac:dyDescent="0.25">
      <c r="A711" s="6"/>
      <c r="B711" s="245"/>
      <c r="C711" s="247"/>
      <c r="D711" s="129"/>
      <c r="E711" s="129"/>
      <c r="F711" s="129"/>
      <c r="G711" s="129"/>
      <c r="H711" s="129">
        <v>290</v>
      </c>
      <c r="I711" s="7" t="s">
        <v>146</v>
      </c>
    </row>
    <row r="712" spans="1:9" ht="15.75" x14ac:dyDescent="0.25">
      <c r="A712" s="6"/>
      <c r="B712" s="245"/>
      <c r="C712" s="247"/>
      <c r="D712" s="129"/>
      <c r="E712" s="129"/>
      <c r="F712" s="129"/>
      <c r="G712" s="129"/>
      <c r="H712" s="129"/>
      <c r="I712" s="7" t="s">
        <v>138</v>
      </c>
    </row>
    <row r="713" spans="1:9" ht="15.75" x14ac:dyDescent="0.25">
      <c r="A713" s="8"/>
      <c r="B713" s="250"/>
      <c r="C713" s="247"/>
      <c r="D713" s="129"/>
      <c r="E713" s="129"/>
      <c r="F713" s="129"/>
      <c r="G713" s="129"/>
      <c r="H713" s="129"/>
      <c r="I713" s="7"/>
    </row>
    <row r="714" spans="1:9" ht="15.75" x14ac:dyDescent="0.25">
      <c r="A714" s="6"/>
      <c r="B714" s="245"/>
      <c r="C714" s="247"/>
      <c r="D714" s="129"/>
      <c r="E714" s="129"/>
      <c r="F714" s="129"/>
      <c r="G714" s="129"/>
      <c r="H714" s="129"/>
      <c r="I714" s="9"/>
    </row>
    <row r="715" spans="1:9" ht="15.75" x14ac:dyDescent="0.25">
      <c r="A715" s="6"/>
      <c r="B715" s="245"/>
      <c r="C715" s="247"/>
      <c r="D715" s="129"/>
      <c r="E715" s="129"/>
      <c r="F715" s="129"/>
      <c r="G715" s="129"/>
      <c r="H715" s="129"/>
      <c r="I715" s="7"/>
    </row>
    <row r="716" spans="1:9" ht="15.75" x14ac:dyDescent="0.25">
      <c r="A716" s="6"/>
      <c r="B716" s="245"/>
      <c r="C716" s="247"/>
      <c r="D716" s="129"/>
      <c r="E716" s="129"/>
      <c r="F716" s="129"/>
      <c r="G716" s="129"/>
      <c r="H716" s="129"/>
      <c r="I716" s="7"/>
    </row>
    <row r="717" spans="1:9" ht="15.75" x14ac:dyDescent="0.25">
      <c r="A717" s="6"/>
      <c r="B717" s="245"/>
      <c r="C717" s="247"/>
      <c r="D717" s="129"/>
      <c r="E717" s="129"/>
      <c r="F717" s="129"/>
      <c r="G717" s="129"/>
      <c r="H717" s="129"/>
      <c r="I717" s="7"/>
    </row>
    <row r="718" spans="1:9" ht="15.75" x14ac:dyDescent="0.25">
      <c r="A718" s="6"/>
      <c r="B718" s="245"/>
      <c r="C718" s="247"/>
      <c r="D718" s="129"/>
      <c r="E718" s="129"/>
      <c r="F718" s="129"/>
      <c r="G718" s="129"/>
      <c r="H718" s="129"/>
      <c r="I718" s="9"/>
    </row>
    <row r="719" spans="1:9" ht="15.75" x14ac:dyDescent="0.25">
      <c r="A719" s="6"/>
      <c r="B719" s="245"/>
      <c r="C719" s="247"/>
      <c r="D719" s="129"/>
      <c r="E719" s="129"/>
      <c r="F719" s="129"/>
      <c r="G719" s="129"/>
      <c r="H719" s="129"/>
      <c r="I719" s="9"/>
    </row>
    <row r="720" spans="1:9" ht="15.75" x14ac:dyDescent="0.25">
      <c r="A720" s="6"/>
      <c r="B720" s="245"/>
      <c r="C720" s="247"/>
      <c r="D720" s="129"/>
      <c r="E720" s="129"/>
      <c r="F720" s="129"/>
      <c r="G720" s="129"/>
      <c r="H720" s="129"/>
      <c r="I720" s="9"/>
    </row>
    <row r="721" spans="1:9" ht="15.75" x14ac:dyDescent="0.25">
      <c r="A721" s="6"/>
      <c r="B721" s="245"/>
      <c r="C721" s="247"/>
      <c r="D721" s="129"/>
      <c r="E721" s="129"/>
      <c r="F721" s="129"/>
      <c r="G721" s="129"/>
      <c r="H721" s="129"/>
      <c r="I721" s="9"/>
    </row>
    <row r="722" spans="1:9" ht="15.75" x14ac:dyDescent="0.25">
      <c r="A722" s="6"/>
      <c r="B722" s="245"/>
      <c r="C722" s="247"/>
      <c r="D722" s="129"/>
      <c r="E722" s="129"/>
      <c r="F722" s="129"/>
      <c r="G722" s="129"/>
      <c r="H722" s="129"/>
      <c r="I722" s="9"/>
    </row>
    <row r="723" spans="1:9" ht="15.75" x14ac:dyDescent="0.25">
      <c r="A723" s="6"/>
      <c r="B723" s="245"/>
      <c r="C723" s="247"/>
      <c r="D723" s="129"/>
      <c r="E723" s="129"/>
      <c r="F723" s="129"/>
      <c r="G723" s="129"/>
      <c r="H723" s="129"/>
      <c r="I723" s="9"/>
    </row>
    <row r="724" spans="1:9" ht="15.75" x14ac:dyDescent="0.25">
      <c r="A724" s="6"/>
      <c r="B724" s="245"/>
      <c r="C724" s="247"/>
      <c r="D724" s="129"/>
      <c r="E724" s="129"/>
      <c r="F724" s="129"/>
      <c r="G724" s="129"/>
      <c r="H724" s="129"/>
      <c r="I724" s="9"/>
    </row>
    <row r="725" spans="1:9" ht="15.75" x14ac:dyDescent="0.25">
      <c r="A725" s="6"/>
      <c r="B725" s="245"/>
      <c r="C725" s="247"/>
      <c r="D725" s="129"/>
      <c r="E725" s="129"/>
      <c r="F725" s="129"/>
      <c r="G725" s="129"/>
      <c r="H725" s="129"/>
      <c r="I725" s="9"/>
    </row>
    <row r="726" spans="1:9" ht="15.75" x14ac:dyDescent="0.25">
      <c r="A726" s="6"/>
      <c r="B726" s="245"/>
      <c r="C726" s="247"/>
      <c r="D726" s="129"/>
      <c r="E726" s="129"/>
      <c r="F726" s="129"/>
      <c r="G726" s="129"/>
      <c r="H726" s="129"/>
      <c r="I726" s="9"/>
    </row>
    <row r="727" spans="1:9" ht="18.75" x14ac:dyDescent="0.3">
      <c r="A727" s="6"/>
      <c r="B727" s="245"/>
      <c r="C727" s="247"/>
      <c r="D727" s="5"/>
      <c r="E727" s="5"/>
      <c r="F727" s="5"/>
      <c r="G727" s="10"/>
      <c r="H727" s="5"/>
      <c r="I727" s="11"/>
    </row>
    <row r="728" spans="1:9" ht="18.75" x14ac:dyDescent="0.3">
      <c r="A728" s="12"/>
      <c r="B728" s="245"/>
      <c r="C728" s="247"/>
      <c r="D728" s="13"/>
      <c r="E728" s="13"/>
      <c r="F728" s="13"/>
      <c r="G728" s="14"/>
      <c r="H728" s="13"/>
      <c r="I728" s="15"/>
    </row>
    <row r="729" spans="1:9" ht="18.75" x14ac:dyDescent="0.3">
      <c r="A729" s="12"/>
      <c r="B729" s="245"/>
      <c r="C729" s="247"/>
      <c r="D729" s="13"/>
      <c r="E729" s="13"/>
      <c r="F729" s="13"/>
      <c r="G729" s="14"/>
      <c r="H729" s="13"/>
      <c r="I729" s="15"/>
    </row>
    <row r="730" spans="1:9" ht="19.5" thickBot="1" x14ac:dyDescent="0.35">
      <c r="A730" s="12"/>
      <c r="B730" s="248"/>
      <c r="C730" s="249"/>
      <c r="D730" s="16"/>
      <c r="E730" s="16"/>
      <c r="F730" s="16"/>
      <c r="G730" s="14"/>
      <c r="H730" s="16"/>
      <c r="I730" s="15"/>
    </row>
    <row r="731" spans="1:9" ht="16.5" thickBot="1" x14ac:dyDescent="0.3">
      <c r="A731" s="17">
        <f>SUM(A708:A730)</f>
        <v>100</v>
      </c>
      <c r="B731" s="241"/>
      <c r="C731" s="242"/>
      <c r="D731" s="18">
        <f>SUM(D708:D730)</f>
        <v>0</v>
      </c>
      <c r="E731" s="19">
        <f>SUM(E708:E730)</f>
        <v>0</v>
      </c>
      <c r="F731" s="20">
        <f>SUM(F708:F730)</f>
        <v>390</v>
      </c>
      <c r="G731" s="21">
        <f>SUM(G708:G730)</f>
        <v>0</v>
      </c>
      <c r="H731" s="22">
        <f>SUM(H708:H730)</f>
        <v>1090</v>
      </c>
      <c r="I731" s="126"/>
    </row>
    <row r="732" spans="1:9" ht="16.5" thickBot="1" x14ac:dyDescent="0.3">
      <c r="A732" s="17"/>
      <c r="B732" s="243">
        <f>H731-A731</f>
        <v>990</v>
      </c>
      <c r="C732" s="244"/>
      <c r="D732" s="127" t="s">
        <v>11</v>
      </c>
      <c r="E732" s="245">
        <f>H731+G731+F731+E731+D731</f>
        <v>1480</v>
      </c>
      <c r="F732" s="246"/>
      <c r="G732" s="246"/>
      <c r="H732" s="247"/>
      <c r="I732" s="126" t="s">
        <v>12</v>
      </c>
    </row>
    <row r="749" spans="1:9" x14ac:dyDescent="0.25">
      <c r="I749" t="s">
        <v>151</v>
      </c>
    </row>
    <row r="751" spans="1:9" ht="15.75" thickBot="1" x14ac:dyDescent="0.3"/>
    <row r="752" spans="1:9" ht="23.25" thickBot="1" x14ac:dyDescent="0.35">
      <c r="A752" s="251" t="s">
        <v>148</v>
      </c>
      <c r="B752" s="252"/>
      <c r="C752" s="252"/>
      <c r="D752" s="252"/>
      <c r="E752" s="252"/>
      <c r="F752" s="252"/>
      <c r="G752" s="252"/>
      <c r="H752" s="252"/>
      <c r="I752" s="253"/>
    </row>
    <row r="753" spans="1:14" ht="19.5" thickBot="1" x14ac:dyDescent="0.35">
      <c r="A753" s="254" t="s">
        <v>1</v>
      </c>
      <c r="B753" s="255"/>
      <c r="C753" s="255"/>
      <c r="D753" s="254" t="s">
        <v>2</v>
      </c>
      <c r="E753" s="255"/>
      <c r="F753" s="255"/>
      <c r="G753" s="255"/>
      <c r="H753" s="255"/>
      <c r="I753" s="256"/>
    </row>
    <row r="754" spans="1:14" ht="19.5" thickBot="1" x14ac:dyDescent="0.35">
      <c r="A754" s="1" t="s">
        <v>3</v>
      </c>
      <c r="B754" s="257" t="s">
        <v>4</v>
      </c>
      <c r="C754" s="258"/>
      <c r="D754" s="2" t="s">
        <v>5</v>
      </c>
      <c r="E754" s="2" t="s">
        <v>6</v>
      </c>
      <c r="F754" s="2" t="s">
        <v>7</v>
      </c>
      <c r="G754" s="2" t="s">
        <v>8</v>
      </c>
      <c r="H754" s="2" t="s">
        <v>9</v>
      </c>
      <c r="I754" s="133" t="s">
        <v>10</v>
      </c>
    </row>
    <row r="755" spans="1:14" ht="16.5" thickBot="1" x14ac:dyDescent="0.3">
      <c r="A755" s="134">
        <f>204+25</f>
        <v>229</v>
      </c>
      <c r="B755" s="259" t="s">
        <v>97</v>
      </c>
      <c r="C755" s="259"/>
      <c r="D755" s="134"/>
      <c r="E755" s="134"/>
      <c r="F755" s="132">
        <v>37</v>
      </c>
      <c r="G755" s="134"/>
      <c r="H755" s="132"/>
      <c r="I755" s="26" t="s">
        <v>150</v>
      </c>
    </row>
    <row r="756" spans="1:14" ht="16.5" thickBot="1" x14ac:dyDescent="0.3">
      <c r="A756" s="6"/>
      <c r="B756" s="260"/>
      <c r="C756" s="261"/>
      <c r="D756" s="134"/>
      <c r="E756" s="134"/>
      <c r="F756" s="141"/>
      <c r="G756" s="134"/>
      <c r="H756" s="134">
        <f>350+350+450+290-75</f>
        <v>1365</v>
      </c>
      <c r="I756" s="26" t="s">
        <v>134</v>
      </c>
    </row>
    <row r="757" spans="1:14" ht="15.75" x14ac:dyDescent="0.25">
      <c r="A757" s="6"/>
      <c r="B757" s="245"/>
      <c r="C757" s="247"/>
      <c r="D757" s="134"/>
      <c r="E757" s="134"/>
      <c r="F757" s="134"/>
      <c r="G757" s="134"/>
      <c r="H757" s="134"/>
      <c r="I757" s="7"/>
      <c r="N757" t="s">
        <v>151</v>
      </c>
    </row>
    <row r="758" spans="1:14" ht="15.75" x14ac:dyDescent="0.25">
      <c r="A758" s="6"/>
      <c r="B758" s="245"/>
      <c r="C758" s="247"/>
      <c r="D758" s="134"/>
      <c r="E758" s="134"/>
      <c r="F758" s="134"/>
      <c r="G758" s="134"/>
      <c r="H758" s="134"/>
      <c r="I758" s="7"/>
    </row>
    <row r="759" spans="1:14" ht="15.75" x14ac:dyDescent="0.25">
      <c r="A759" s="6"/>
      <c r="B759" s="245"/>
      <c r="C759" s="247"/>
      <c r="D759" s="134"/>
      <c r="E759" s="134"/>
      <c r="F759" s="134"/>
      <c r="G759" s="134"/>
      <c r="H759" s="134"/>
      <c r="I759" s="7" t="s">
        <v>138</v>
      </c>
    </row>
    <row r="760" spans="1:14" ht="15.75" x14ac:dyDescent="0.25">
      <c r="A760" s="8"/>
      <c r="B760" s="250"/>
      <c r="C760" s="247"/>
      <c r="D760" s="134"/>
      <c r="E760" s="134"/>
      <c r="F760" s="134"/>
      <c r="G760" s="134"/>
      <c r="H760" s="134"/>
      <c r="I760" s="7"/>
    </row>
    <row r="761" spans="1:14" ht="15.75" x14ac:dyDescent="0.25">
      <c r="A761" s="6"/>
      <c r="B761" s="245"/>
      <c r="C761" s="247"/>
      <c r="D761" s="134"/>
      <c r="E761" s="134"/>
      <c r="F761" s="134"/>
      <c r="G761" s="134"/>
      <c r="H761" s="134"/>
      <c r="I761" s="9"/>
    </row>
    <row r="762" spans="1:14" ht="15.75" x14ac:dyDescent="0.25">
      <c r="A762" s="6"/>
      <c r="B762" s="245"/>
      <c r="C762" s="247"/>
      <c r="D762" s="134"/>
      <c r="E762" s="134"/>
      <c r="F762" s="134"/>
      <c r="G762" s="134"/>
      <c r="H762" s="134"/>
      <c r="I762" s="7"/>
    </row>
    <row r="763" spans="1:14" ht="15.75" x14ac:dyDescent="0.25">
      <c r="A763" s="6"/>
      <c r="B763" s="245"/>
      <c r="C763" s="247"/>
      <c r="D763" s="134"/>
      <c r="E763" s="134"/>
      <c r="F763" s="134"/>
      <c r="G763" s="134"/>
      <c r="H763" s="134"/>
      <c r="I763" s="7"/>
    </row>
    <row r="764" spans="1:14" ht="15.75" x14ac:dyDescent="0.25">
      <c r="A764" s="6"/>
      <c r="B764" s="245"/>
      <c r="C764" s="247"/>
      <c r="D764" s="134"/>
      <c r="E764" s="134"/>
      <c r="F764" s="134"/>
      <c r="G764" s="134"/>
      <c r="H764" s="134"/>
      <c r="I764" s="7"/>
    </row>
    <row r="765" spans="1:14" ht="15.75" x14ac:dyDescent="0.25">
      <c r="A765" s="6"/>
      <c r="B765" s="245"/>
      <c r="C765" s="247"/>
      <c r="D765" s="134"/>
      <c r="E765" s="134"/>
      <c r="F765" s="134"/>
      <c r="G765" s="134"/>
      <c r="H765" s="134"/>
      <c r="I765" s="9"/>
    </row>
    <row r="766" spans="1:14" ht="15.75" x14ac:dyDescent="0.25">
      <c r="A766" s="6"/>
      <c r="B766" s="245"/>
      <c r="C766" s="247"/>
      <c r="D766" s="134"/>
      <c r="E766" s="134"/>
      <c r="F766" s="134"/>
      <c r="G766" s="134"/>
      <c r="H766" s="134"/>
      <c r="I766" s="9"/>
    </row>
    <row r="767" spans="1:14" ht="15.75" x14ac:dyDescent="0.25">
      <c r="A767" s="6"/>
      <c r="B767" s="245"/>
      <c r="C767" s="247"/>
      <c r="D767" s="134"/>
      <c r="E767" s="134"/>
      <c r="F767" s="134"/>
      <c r="G767" s="134"/>
      <c r="H767" s="134"/>
      <c r="I767" s="9"/>
    </row>
    <row r="768" spans="1:14" ht="15.75" x14ac:dyDescent="0.25">
      <c r="A768" s="6"/>
      <c r="B768" s="245"/>
      <c r="C768" s="247"/>
      <c r="D768" s="134"/>
      <c r="E768" s="134"/>
      <c r="F768" s="134"/>
      <c r="G768" s="134"/>
      <c r="H768" s="134"/>
      <c r="I768" s="9"/>
    </row>
    <row r="769" spans="1:9" ht="15.75" x14ac:dyDescent="0.25">
      <c r="A769" s="6"/>
      <c r="B769" s="245"/>
      <c r="C769" s="247"/>
      <c r="D769" s="134"/>
      <c r="E769" s="134"/>
      <c r="F769" s="134"/>
      <c r="G769" s="134"/>
      <c r="H769" s="134"/>
      <c r="I769" s="9"/>
    </row>
    <row r="770" spans="1:9" ht="15.75" x14ac:dyDescent="0.25">
      <c r="A770" s="6"/>
      <c r="B770" s="245"/>
      <c r="C770" s="247"/>
      <c r="D770" s="134"/>
      <c r="E770" s="134"/>
      <c r="F770" s="134"/>
      <c r="G770" s="134"/>
      <c r="H770" s="134"/>
      <c r="I770" s="9"/>
    </row>
    <row r="771" spans="1:9" ht="15.75" x14ac:dyDescent="0.25">
      <c r="A771" s="6"/>
      <c r="B771" s="245"/>
      <c r="C771" s="247"/>
      <c r="D771" s="134"/>
      <c r="E771" s="134"/>
      <c r="F771" s="134"/>
      <c r="G771" s="134"/>
      <c r="H771" s="134"/>
      <c r="I771" s="9"/>
    </row>
    <row r="772" spans="1:9" ht="15.75" x14ac:dyDescent="0.25">
      <c r="A772" s="6"/>
      <c r="B772" s="245"/>
      <c r="C772" s="247"/>
      <c r="D772" s="134"/>
      <c r="E772" s="134"/>
      <c r="F772" s="134"/>
      <c r="G772" s="134"/>
      <c r="H772" s="134"/>
      <c r="I772" s="9"/>
    </row>
    <row r="773" spans="1:9" ht="15.75" x14ac:dyDescent="0.25">
      <c r="A773" s="6"/>
      <c r="B773" s="245"/>
      <c r="C773" s="247"/>
      <c r="D773" s="134"/>
      <c r="E773" s="134"/>
      <c r="F773" s="134"/>
      <c r="G773" s="134"/>
      <c r="H773" s="134"/>
      <c r="I773" s="9"/>
    </row>
    <row r="774" spans="1:9" ht="18.75" x14ac:dyDescent="0.3">
      <c r="A774" s="6"/>
      <c r="B774" s="245"/>
      <c r="C774" s="247"/>
      <c r="D774" s="5"/>
      <c r="E774" s="5"/>
      <c r="F774" s="5"/>
      <c r="G774" s="10"/>
      <c r="H774" s="5"/>
      <c r="I774" s="11"/>
    </row>
    <row r="775" spans="1:9" ht="18.75" x14ac:dyDescent="0.3">
      <c r="A775" s="12"/>
      <c r="B775" s="245"/>
      <c r="C775" s="247"/>
      <c r="D775" s="13"/>
      <c r="E775" s="13"/>
      <c r="F775" s="13"/>
      <c r="G775" s="14"/>
      <c r="H775" s="13"/>
      <c r="I775" s="15"/>
    </row>
    <row r="776" spans="1:9" ht="18.75" x14ac:dyDescent="0.3">
      <c r="A776" s="12"/>
      <c r="B776" s="245"/>
      <c r="C776" s="247"/>
      <c r="D776" s="13"/>
      <c r="E776" s="13"/>
      <c r="F776" s="13"/>
      <c r="G776" s="14"/>
      <c r="H776" s="13"/>
      <c r="I776" s="15"/>
    </row>
    <row r="777" spans="1:9" ht="19.5" thickBot="1" x14ac:dyDescent="0.35">
      <c r="A777" s="12"/>
      <c r="B777" s="248"/>
      <c r="C777" s="249"/>
      <c r="D777" s="16"/>
      <c r="E777" s="16"/>
      <c r="F777" s="16"/>
      <c r="G777" s="14"/>
      <c r="H777" s="16"/>
      <c r="I777" s="15"/>
    </row>
    <row r="778" spans="1:9" ht="16.5" thickBot="1" x14ac:dyDescent="0.3">
      <c r="A778" s="17">
        <f>SUM(A755:A777)</f>
        <v>229</v>
      </c>
      <c r="B778" s="241"/>
      <c r="C778" s="242"/>
      <c r="D778" s="18">
        <f>SUM(D755:D777)</f>
        <v>0</v>
      </c>
      <c r="E778" s="19">
        <f>SUM(E755:E777)</f>
        <v>0</v>
      </c>
      <c r="F778" s="20">
        <f>SUM(F755:F777)</f>
        <v>37</v>
      </c>
      <c r="G778" s="21">
        <f>SUM(G755:G777)</f>
        <v>0</v>
      </c>
      <c r="H778" s="22">
        <f>SUM(H755:H777)</f>
        <v>1365</v>
      </c>
      <c r="I778" s="130"/>
    </row>
    <row r="779" spans="1:9" ht="16.5" thickBot="1" x14ac:dyDescent="0.3">
      <c r="A779" s="17"/>
      <c r="B779" s="243">
        <f>H778-A778</f>
        <v>1136</v>
      </c>
      <c r="C779" s="244"/>
      <c r="D779" s="131" t="s">
        <v>11</v>
      </c>
      <c r="E779" s="245">
        <f>H778+G778+F778+E778+D778</f>
        <v>1402</v>
      </c>
      <c r="F779" s="246"/>
      <c r="G779" s="246"/>
      <c r="H779" s="247"/>
      <c r="I779" s="130" t="s">
        <v>12</v>
      </c>
    </row>
    <row r="798" spans="1:9" ht="15.75" thickBot="1" x14ac:dyDescent="0.3"/>
    <row r="799" spans="1:9" ht="23.25" thickBot="1" x14ac:dyDescent="0.35">
      <c r="A799" s="251" t="s">
        <v>149</v>
      </c>
      <c r="B799" s="252"/>
      <c r="C799" s="252"/>
      <c r="D799" s="252"/>
      <c r="E799" s="252"/>
      <c r="F799" s="252"/>
      <c r="G799" s="252"/>
      <c r="H799" s="252"/>
      <c r="I799" s="253"/>
    </row>
    <row r="800" spans="1:9" ht="19.5" thickBot="1" x14ac:dyDescent="0.35">
      <c r="A800" s="254" t="s">
        <v>1</v>
      </c>
      <c r="B800" s="255"/>
      <c r="C800" s="255"/>
      <c r="D800" s="254" t="s">
        <v>2</v>
      </c>
      <c r="E800" s="255"/>
      <c r="F800" s="255"/>
      <c r="G800" s="255"/>
      <c r="H800" s="255"/>
      <c r="I800" s="256"/>
    </row>
    <row r="801" spans="1:9" ht="19.5" thickBot="1" x14ac:dyDescent="0.35">
      <c r="A801" s="1" t="s">
        <v>3</v>
      </c>
      <c r="B801" s="257" t="s">
        <v>4</v>
      </c>
      <c r="C801" s="258"/>
      <c r="D801" s="2" t="s">
        <v>5</v>
      </c>
      <c r="E801" s="2" t="s">
        <v>6</v>
      </c>
      <c r="F801" s="2" t="s">
        <v>7</v>
      </c>
      <c r="G801" s="2" t="s">
        <v>8</v>
      </c>
      <c r="H801" s="2" t="s">
        <v>9</v>
      </c>
      <c r="I801" s="138" t="s">
        <v>10</v>
      </c>
    </row>
    <row r="802" spans="1:9" ht="16.5" thickBot="1" x14ac:dyDescent="0.3">
      <c r="A802" s="139">
        <v>25</v>
      </c>
      <c r="B802" s="259" t="s">
        <v>155</v>
      </c>
      <c r="C802" s="259"/>
      <c r="D802" s="139"/>
      <c r="E802" s="139"/>
      <c r="F802" s="137">
        <v>30</v>
      </c>
      <c r="G802" s="139"/>
      <c r="H802" s="137">
        <v>350</v>
      </c>
      <c r="I802" s="26" t="s">
        <v>152</v>
      </c>
    </row>
    <row r="803" spans="1:9" ht="15.75" x14ac:dyDescent="0.25">
      <c r="A803" s="6"/>
      <c r="B803" s="260"/>
      <c r="C803" s="261"/>
      <c r="D803" s="139"/>
      <c r="E803" s="139"/>
      <c r="F803" s="139">
        <v>50</v>
      </c>
      <c r="G803" s="139"/>
      <c r="H803" s="139"/>
      <c r="I803" s="147" t="s">
        <v>153</v>
      </c>
    </row>
    <row r="804" spans="1:9" ht="15.75" x14ac:dyDescent="0.25">
      <c r="A804" s="6"/>
      <c r="B804" s="245"/>
      <c r="C804" s="247"/>
      <c r="D804" s="139"/>
      <c r="E804" s="139"/>
      <c r="F804" s="139"/>
      <c r="G804" s="139"/>
      <c r="H804" s="139">
        <v>17</v>
      </c>
      <c r="I804" s="7" t="s">
        <v>154</v>
      </c>
    </row>
    <row r="805" spans="1:9" ht="15.75" x14ac:dyDescent="0.25">
      <c r="A805" s="6"/>
      <c r="B805" s="245"/>
      <c r="C805" s="247"/>
      <c r="D805" s="139"/>
      <c r="E805" s="139"/>
      <c r="F805" s="139"/>
      <c r="G805" s="139"/>
      <c r="H805" s="139"/>
      <c r="I805" s="7"/>
    </row>
    <row r="806" spans="1:9" ht="15.75" x14ac:dyDescent="0.25">
      <c r="A806" s="6"/>
      <c r="B806" s="245"/>
      <c r="C806" s="247"/>
      <c r="D806" s="139"/>
      <c r="E806" s="139"/>
      <c r="F806" s="139"/>
      <c r="G806" s="139"/>
      <c r="H806" s="139"/>
      <c r="I806" s="7" t="s">
        <v>138</v>
      </c>
    </row>
    <row r="807" spans="1:9" ht="15.75" x14ac:dyDescent="0.25">
      <c r="A807" s="8"/>
      <c r="B807" s="250"/>
      <c r="C807" s="247"/>
      <c r="D807" s="139"/>
      <c r="E807" s="139"/>
      <c r="F807" s="139"/>
      <c r="G807" s="139"/>
      <c r="H807" s="139"/>
      <c r="I807" s="7"/>
    </row>
    <row r="808" spans="1:9" ht="15.75" x14ac:dyDescent="0.25">
      <c r="A808" s="6"/>
      <c r="B808" s="245"/>
      <c r="C808" s="247"/>
      <c r="D808" s="139"/>
      <c r="E808" s="139"/>
      <c r="F808" s="139"/>
      <c r="G808" s="139"/>
      <c r="H808" s="139"/>
      <c r="I808" s="9"/>
    </row>
    <row r="809" spans="1:9" ht="15.75" x14ac:dyDescent="0.25">
      <c r="A809" s="6"/>
      <c r="B809" s="245"/>
      <c r="C809" s="247"/>
      <c r="D809" s="139"/>
      <c r="E809" s="139"/>
      <c r="F809" s="139"/>
      <c r="G809" s="139"/>
      <c r="H809" s="139"/>
      <c r="I809" s="7"/>
    </row>
    <row r="810" spans="1:9" ht="15.75" x14ac:dyDescent="0.25">
      <c r="A810" s="6"/>
      <c r="B810" s="245"/>
      <c r="C810" s="247"/>
      <c r="D810" s="139"/>
      <c r="E810" s="139"/>
      <c r="F810" s="139"/>
      <c r="G810" s="139"/>
      <c r="H810" s="139"/>
      <c r="I810" s="7"/>
    </row>
    <row r="811" spans="1:9" ht="15.75" x14ac:dyDescent="0.25">
      <c r="A811" s="6"/>
      <c r="B811" s="245"/>
      <c r="C811" s="247"/>
      <c r="D811" s="139"/>
      <c r="E811" s="139"/>
      <c r="F811" s="139"/>
      <c r="G811" s="139"/>
      <c r="H811" s="139"/>
      <c r="I811" s="7"/>
    </row>
    <row r="812" spans="1:9" ht="15.75" x14ac:dyDescent="0.25">
      <c r="A812" s="6"/>
      <c r="B812" s="245"/>
      <c r="C812" s="247"/>
      <c r="D812" s="139"/>
      <c r="E812" s="139"/>
      <c r="F812" s="139"/>
      <c r="G812" s="139"/>
      <c r="H812" s="139"/>
      <c r="I812" s="9"/>
    </row>
    <row r="813" spans="1:9" ht="15.75" x14ac:dyDescent="0.25">
      <c r="A813" s="6"/>
      <c r="B813" s="245"/>
      <c r="C813" s="247"/>
      <c r="D813" s="139"/>
      <c r="E813" s="139"/>
      <c r="F813" s="139"/>
      <c r="G813" s="139"/>
      <c r="H813" s="139"/>
      <c r="I813" s="9"/>
    </row>
    <row r="814" spans="1:9" ht="15.75" x14ac:dyDescent="0.25">
      <c r="A814" s="6"/>
      <c r="B814" s="245"/>
      <c r="C814" s="247"/>
      <c r="D814" s="139"/>
      <c r="E814" s="139"/>
      <c r="F814" s="139"/>
      <c r="G814" s="139"/>
      <c r="H814" s="139"/>
      <c r="I814" s="9"/>
    </row>
    <row r="815" spans="1:9" ht="15.75" x14ac:dyDescent="0.25">
      <c r="A815" s="6"/>
      <c r="B815" s="245"/>
      <c r="C815" s="247"/>
      <c r="D815" s="139"/>
      <c r="E815" s="139"/>
      <c r="F815" s="139"/>
      <c r="G815" s="139"/>
      <c r="H815" s="139"/>
      <c r="I815" s="9"/>
    </row>
    <row r="816" spans="1:9" ht="15.75" x14ac:dyDescent="0.25">
      <c r="A816" s="6"/>
      <c r="B816" s="245"/>
      <c r="C816" s="247"/>
      <c r="D816" s="139"/>
      <c r="E816" s="139"/>
      <c r="F816" s="139"/>
      <c r="G816" s="139"/>
      <c r="H816" s="139"/>
      <c r="I816" s="9"/>
    </row>
    <row r="817" spans="1:9" ht="15.75" x14ac:dyDescent="0.25">
      <c r="A817" s="6"/>
      <c r="B817" s="245"/>
      <c r="C817" s="247"/>
      <c r="D817" s="139"/>
      <c r="E817" s="139"/>
      <c r="F817" s="139"/>
      <c r="G817" s="139"/>
      <c r="H817" s="139"/>
      <c r="I817" s="9"/>
    </row>
    <row r="818" spans="1:9" ht="15.75" x14ac:dyDescent="0.25">
      <c r="A818" s="6"/>
      <c r="B818" s="245"/>
      <c r="C818" s="247"/>
      <c r="D818" s="139"/>
      <c r="E818" s="139"/>
      <c r="F818" s="139"/>
      <c r="G818" s="139"/>
      <c r="H818" s="139"/>
      <c r="I818" s="9"/>
    </row>
    <row r="819" spans="1:9" ht="15.75" x14ac:dyDescent="0.25">
      <c r="A819" s="6"/>
      <c r="B819" s="245"/>
      <c r="C819" s="247"/>
      <c r="D819" s="139"/>
      <c r="E819" s="139"/>
      <c r="F819" s="139"/>
      <c r="G819" s="139"/>
      <c r="H819" s="139"/>
      <c r="I819" s="9"/>
    </row>
    <row r="820" spans="1:9" ht="15.75" x14ac:dyDescent="0.25">
      <c r="A820" s="6"/>
      <c r="B820" s="245"/>
      <c r="C820" s="247"/>
      <c r="D820" s="139"/>
      <c r="E820" s="139"/>
      <c r="F820" s="139"/>
      <c r="G820" s="139"/>
      <c r="H820" s="139"/>
      <c r="I820" s="9"/>
    </row>
    <row r="821" spans="1:9" ht="18.75" x14ac:dyDescent="0.3">
      <c r="A821" s="6"/>
      <c r="B821" s="245"/>
      <c r="C821" s="247"/>
      <c r="D821" s="5"/>
      <c r="E821" s="5"/>
      <c r="F821" s="5"/>
      <c r="G821" s="10"/>
      <c r="H821" s="5"/>
      <c r="I821" s="11"/>
    </row>
    <row r="822" spans="1:9" ht="18.75" x14ac:dyDescent="0.3">
      <c r="A822" s="12"/>
      <c r="B822" s="245"/>
      <c r="C822" s="247"/>
      <c r="D822" s="13"/>
      <c r="E822" s="13"/>
      <c r="F822" s="13"/>
      <c r="G822" s="14"/>
      <c r="H822" s="13"/>
      <c r="I822" s="15"/>
    </row>
    <row r="823" spans="1:9" ht="18.75" x14ac:dyDescent="0.3">
      <c r="A823" s="12"/>
      <c r="B823" s="245"/>
      <c r="C823" s="247"/>
      <c r="D823" s="13"/>
      <c r="E823" s="13"/>
      <c r="F823" s="13"/>
      <c r="G823" s="14"/>
      <c r="H823" s="13"/>
      <c r="I823" s="15"/>
    </row>
    <row r="824" spans="1:9" ht="19.5" thickBot="1" x14ac:dyDescent="0.35">
      <c r="A824" s="12"/>
      <c r="B824" s="248"/>
      <c r="C824" s="249"/>
      <c r="D824" s="16"/>
      <c r="E824" s="16"/>
      <c r="F824" s="16"/>
      <c r="G824" s="14"/>
      <c r="H824" s="16"/>
      <c r="I824" s="15"/>
    </row>
    <row r="825" spans="1:9" ht="16.5" thickBot="1" x14ac:dyDescent="0.3">
      <c r="A825" s="17">
        <f>SUM(A802:A824)</f>
        <v>25</v>
      </c>
      <c r="B825" s="241"/>
      <c r="C825" s="242"/>
      <c r="D825" s="18">
        <f>SUM(D802:D824)</f>
        <v>0</v>
      </c>
      <c r="E825" s="19">
        <f>SUM(E802:E824)</f>
        <v>0</v>
      </c>
      <c r="F825" s="20">
        <f>SUM(F802:F824)</f>
        <v>80</v>
      </c>
      <c r="G825" s="21">
        <f>SUM(G802:G824)</f>
        <v>0</v>
      </c>
      <c r="H825" s="22">
        <f>SUM(H802:H824)</f>
        <v>367</v>
      </c>
      <c r="I825" s="135"/>
    </row>
    <row r="826" spans="1:9" ht="16.5" thickBot="1" x14ac:dyDescent="0.3">
      <c r="A826" s="17"/>
      <c r="B826" s="243">
        <f>H825-A825</f>
        <v>342</v>
      </c>
      <c r="C826" s="244"/>
      <c r="D826" s="136" t="s">
        <v>11</v>
      </c>
      <c r="E826" s="245">
        <f>H825+G825+F825+E825+D825</f>
        <v>447</v>
      </c>
      <c r="F826" s="246"/>
      <c r="G826" s="246"/>
      <c r="H826" s="247"/>
      <c r="I826" s="135" t="s">
        <v>12</v>
      </c>
    </row>
    <row r="844" spans="1:9" ht="15.75" thickBot="1" x14ac:dyDescent="0.3"/>
    <row r="845" spans="1:9" ht="23.25" thickBot="1" x14ac:dyDescent="0.35">
      <c r="A845" s="251" t="s">
        <v>156</v>
      </c>
      <c r="B845" s="252"/>
      <c r="C845" s="252"/>
      <c r="D845" s="252"/>
      <c r="E845" s="252"/>
      <c r="F845" s="252"/>
      <c r="G845" s="252"/>
      <c r="H845" s="252"/>
      <c r="I845" s="253"/>
    </row>
    <row r="846" spans="1:9" ht="19.5" thickBot="1" x14ac:dyDescent="0.35">
      <c r="A846" s="254" t="s">
        <v>1</v>
      </c>
      <c r="B846" s="255"/>
      <c r="C846" s="255"/>
      <c r="D846" s="254" t="s">
        <v>2</v>
      </c>
      <c r="E846" s="255"/>
      <c r="F846" s="255"/>
      <c r="G846" s="255"/>
      <c r="H846" s="255"/>
      <c r="I846" s="256"/>
    </row>
    <row r="847" spans="1:9" ht="19.5" thickBot="1" x14ac:dyDescent="0.35">
      <c r="A847" s="1" t="s">
        <v>3</v>
      </c>
      <c r="B847" s="257" t="s">
        <v>4</v>
      </c>
      <c r="C847" s="258"/>
      <c r="D847" s="2" t="s">
        <v>5</v>
      </c>
      <c r="E847" s="2" t="s">
        <v>6</v>
      </c>
      <c r="F847" s="2" t="s">
        <v>7</v>
      </c>
      <c r="G847" s="2" t="s">
        <v>8</v>
      </c>
      <c r="H847" s="2" t="s">
        <v>9</v>
      </c>
      <c r="I847" s="145" t="s">
        <v>10</v>
      </c>
    </row>
    <row r="848" spans="1:9" ht="16.5" thickBot="1" x14ac:dyDescent="0.3">
      <c r="A848" s="146">
        <v>25</v>
      </c>
      <c r="B848" s="259" t="s">
        <v>155</v>
      </c>
      <c r="C848" s="259"/>
      <c r="D848" s="146"/>
      <c r="E848" s="146"/>
      <c r="F848" s="144"/>
      <c r="G848" s="146"/>
      <c r="H848" s="144">
        <v>53</v>
      </c>
      <c r="I848" s="26" t="s">
        <v>134</v>
      </c>
    </row>
    <row r="849" spans="1:9" ht="15.75" x14ac:dyDescent="0.25">
      <c r="A849" s="6"/>
      <c r="B849" s="260"/>
      <c r="C849" s="261"/>
      <c r="D849" s="146"/>
      <c r="E849" s="146"/>
      <c r="F849" s="146">
        <v>100</v>
      </c>
      <c r="G849" s="146"/>
      <c r="H849" s="146">
        <v>340</v>
      </c>
      <c r="I849" s="37" t="s">
        <v>123</v>
      </c>
    </row>
    <row r="850" spans="1:9" ht="15.75" x14ac:dyDescent="0.25">
      <c r="A850" s="6"/>
      <c r="B850" s="245"/>
      <c r="C850" s="247"/>
      <c r="D850" s="146"/>
      <c r="E850" s="146"/>
      <c r="F850" s="146"/>
      <c r="G850" s="146"/>
      <c r="H850" s="146">
        <v>15</v>
      </c>
      <c r="I850" s="7" t="s">
        <v>157</v>
      </c>
    </row>
    <row r="851" spans="1:9" ht="15.75" x14ac:dyDescent="0.25">
      <c r="A851" s="6"/>
      <c r="B851" s="245"/>
      <c r="C851" s="247"/>
      <c r="D851" s="146"/>
      <c r="E851" s="146"/>
      <c r="F851" s="146"/>
      <c r="G851" s="146"/>
      <c r="H851" s="146">
        <v>35</v>
      </c>
      <c r="I851" s="7" t="s">
        <v>98</v>
      </c>
    </row>
    <row r="852" spans="1:9" ht="15.75" x14ac:dyDescent="0.25">
      <c r="A852" s="6"/>
      <c r="B852" s="245"/>
      <c r="C852" s="247"/>
      <c r="D852" s="146"/>
      <c r="E852" s="146"/>
      <c r="F852" s="146">
        <v>8</v>
      </c>
      <c r="G852" s="146"/>
      <c r="H852" s="146">
        <v>8</v>
      </c>
      <c r="I852" s="7" t="s">
        <v>158</v>
      </c>
    </row>
    <row r="853" spans="1:9" ht="15.75" x14ac:dyDescent="0.25">
      <c r="A853" s="8"/>
      <c r="B853" s="250"/>
      <c r="C853" s="247"/>
      <c r="D853" s="146"/>
      <c r="E853" s="146"/>
      <c r="F853" s="146">
        <v>-50</v>
      </c>
      <c r="G853" s="146"/>
      <c r="H853" s="146"/>
      <c r="I853" s="7" t="s">
        <v>159</v>
      </c>
    </row>
    <row r="854" spans="1:9" ht="15.75" x14ac:dyDescent="0.25">
      <c r="A854" s="6"/>
      <c r="B854" s="245"/>
      <c r="C854" s="247"/>
      <c r="D854" s="146"/>
      <c r="E854" s="146"/>
      <c r="F854" s="146"/>
      <c r="G854" s="146"/>
      <c r="H854" s="146"/>
      <c r="I854" s="9"/>
    </row>
    <row r="855" spans="1:9" ht="15.75" x14ac:dyDescent="0.25">
      <c r="A855" s="6"/>
      <c r="B855" s="245"/>
      <c r="C855" s="247"/>
      <c r="D855" s="146"/>
      <c r="E855" s="146"/>
      <c r="F855" s="146"/>
      <c r="G855" s="146"/>
      <c r="H855" s="146"/>
      <c r="I855" s="7"/>
    </row>
    <row r="856" spans="1:9" ht="15.75" x14ac:dyDescent="0.25">
      <c r="A856" s="6"/>
      <c r="B856" s="245"/>
      <c r="C856" s="247"/>
      <c r="D856" s="146"/>
      <c r="E856" s="146"/>
      <c r="F856" s="146"/>
      <c r="G856" s="146"/>
      <c r="H856" s="146"/>
      <c r="I856" s="7"/>
    </row>
    <row r="857" spans="1:9" ht="15.75" x14ac:dyDescent="0.25">
      <c r="A857" s="6"/>
      <c r="B857" s="245"/>
      <c r="C857" s="247"/>
      <c r="D857" s="146"/>
      <c r="E857" s="146"/>
      <c r="F857" s="146"/>
      <c r="G857" s="146"/>
      <c r="H857" s="146"/>
      <c r="I857" s="7"/>
    </row>
    <row r="858" spans="1:9" ht="15.75" x14ac:dyDescent="0.25">
      <c r="A858" s="6"/>
      <c r="B858" s="245"/>
      <c r="C858" s="247"/>
      <c r="D858" s="146"/>
      <c r="E858" s="146"/>
      <c r="F858" s="146"/>
      <c r="G858" s="146"/>
      <c r="H858" s="146"/>
      <c r="I858" s="9"/>
    </row>
    <row r="859" spans="1:9" ht="15.75" x14ac:dyDescent="0.25">
      <c r="A859" s="6"/>
      <c r="B859" s="245"/>
      <c r="C859" s="247"/>
      <c r="D859" s="146"/>
      <c r="E859" s="146"/>
      <c r="F859" s="146"/>
      <c r="G859" s="146"/>
      <c r="H859" s="146"/>
      <c r="I859" s="9"/>
    </row>
    <row r="860" spans="1:9" ht="15.75" x14ac:dyDescent="0.25">
      <c r="A860" s="6"/>
      <c r="B860" s="245"/>
      <c r="C860" s="247"/>
      <c r="D860" s="146"/>
      <c r="E860" s="146"/>
      <c r="F860" s="146"/>
      <c r="G860" s="146"/>
      <c r="H860" s="146"/>
      <c r="I860" s="9"/>
    </row>
    <row r="861" spans="1:9" ht="15.75" x14ac:dyDescent="0.25">
      <c r="A861" s="6"/>
      <c r="B861" s="245"/>
      <c r="C861" s="247"/>
      <c r="D861" s="146"/>
      <c r="E861" s="146"/>
      <c r="F861" s="146"/>
      <c r="G861" s="146"/>
      <c r="H861" s="146"/>
      <c r="I861" s="9"/>
    </row>
    <row r="862" spans="1:9" ht="15.75" x14ac:dyDescent="0.25">
      <c r="A862" s="6"/>
      <c r="B862" s="245"/>
      <c r="C862" s="247"/>
      <c r="D862" s="146"/>
      <c r="E862" s="146"/>
      <c r="F862" s="146"/>
      <c r="G862" s="146"/>
      <c r="H862" s="146"/>
      <c r="I862" s="9"/>
    </row>
    <row r="863" spans="1:9" ht="15.75" x14ac:dyDescent="0.25">
      <c r="A863" s="6"/>
      <c r="B863" s="245"/>
      <c r="C863" s="247"/>
      <c r="D863" s="146"/>
      <c r="E863" s="146"/>
      <c r="F863" s="146"/>
      <c r="G863" s="146"/>
      <c r="H863" s="146"/>
      <c r="I863" s="9"/>
    </row>
    <row r="864" spans="1:9" ht="15.75" x14ac:dyDescent="0.25">
      <c r="A864" s="6"/>
      <c r="B864" s="245"/>
      <c r="C864" s="247"/>
      <c r="D864" s="146"/>
      <c r="E864" s="146"/>
      <c r="F864" s="146"/>
      <c r="G864" s="146"/>
      <c r="H864" s="146"/>
      <c r="I864" s="9"/>
    </row>
    <row r="865" spans="1:9" ht="15.75" x14ac:dyDescent="0.25">
      <c r="A865" s="6"/>
      <c r="B865" s="245"/>
      <c r="C865" s="247"/>
      <c r="D865" s="146"/>
      <c r="E865" s="146"/>
      <c r="F865" s="146"/>
      <c r="G865" s="146"/>
      <c r="H865" s="146"/>
      <c r="I865" s="9"/>
    </row>
    <row r="866" spans="1:9" ht="15.75" x14ac:dyDescent="0.25">
      <c r="A866" s="6"/>
      <c r="B866" s="245"/>
      <c r="C866" s="247"/>
      <c r="D866" s="146"/>
      <c r="E866" s="146"/>
      <c r="F866" s="146"/>
      <c r="G866" s="146"/>
      <c r="H866" s="146"/>
      <c r="I866" s="9"/>
    </row>
    <row r="867" spans="1:9" ht="18.75" x14ac:dyDescent="0.3">
      <c r="A867" s="6"/>
      <c r="B867" s="245"/>
      <c r="C867" s="247"/>
      <c r="D867" s="5"/>
      <c r="E867" s="5"/>
      <c r="F867" s="5"/>
      <c r="G867" s="10"/>
      <c r="H867" s="5"/>
      <c r="I867" s="11"/>
    </row>
    <row r="868" spans="1:9" ht="18.75" x14ac:dyDescent="0.3">
      <c r="A868" s="12"/>
      <c r="B868" s="245"/>
      <c r="C868" s="247"/>
      <c r="D868" s="13"/>
      <c r="E868" s="13"/>
      <c r="F868" s="13"/>
      <c r="G868" s="14"/>
      <c r="H868" s="13"/>
      <c r="I868" s="15"/>
    </row>
    <row r="869" spans="1:9" ht="18.75" x14ac:dyDescent="0.3">
      <c r="A869" s="12"/>
      <c r="B869" s="245"/>
      <c r="C869" s="247"/>
      <c r="D869" s="13"/>
      <c r="E869" s="13"/>
      <c r="F869" s="13"/>
      <c r="G869" s="14"/>
      <c r="H869" s="13"/>
      <c r="I869" s="15"/>
    </row>
    <row r="870" spans="1:9" ht="19.5" thickBot="1" x14ac:dyDescent="0.35">
      <c r="A870" s="12"/>
      <c r="B870" s="248"/>
      <c r="C870" s="249"/>
      <c r="D870" s="16"/>
      <c r="E870" s="16"/>
      <c r="F870" s="16"/>
      <c r="G870" s="14"/>
      <c r="H870" s="16"/>
      <c r="I870" s="15"/>
    </row>
    <row r="871" spans="1:9" ht="16.5" thickBot="1" x14ac:dyDescent="0.3">
      <c r="A871" s="17">
        <f>SUM(A848:A870)</f>
        <v>25</v>
      </c>
      <c r="B871" s="241"/>
      <c r="C871" s="242"/>
      <c r="D871" s="18">
        <f>SUM(D848:D870)</f>
        <v>0</v>
      </c>
      <c r="E871" s="19">
        <f>SUM(E848:E870)</f>
        <v>0</v>
      </c>
      <c r="F871" s="20">
        <f>SUM(F848:F870)</f>
        <v>58</v>
      </c>
      <c r="G871" s="21">
        <f>SUM(G848:G870)</f>
        <v>0</v>
      </c>
      <c r="H871" s="22">
        <f>SUM(H848:H870)</f>
        <v>451</v>
      </c>
      <c r="I871" s="142"/>
    </row>
    <row r="872" spans="1:9" ht="16.5" thickBot="1" x14ac:dyDescent="0.3">
      <c r="A872" s="17"/>
      <c r="B872" s="243">
        <f>H871-A871</f>
        <v>426</v>
      </c>
      <c r="C872" s="244"/>
      <c r="D872" s="143" t="s">
        <v>11</v>
      </c>
      <c r="E872" s="245">
        <f>H871+G871+F871+E871+D871</f>
        <v>509</v>
      </c>
      <c r="F872" s="246"/>
      <c r="G872" s="246"/>
      <c r="H872" s="247"/>
      <c r="I872" s="142" t="s">
        <v>12</v>
      </c>
    </row>
    <row r="891" spans="1:9" ht="15.75" thickBot="1" x14ac:dyDescent="0.3"/>
    <row r="892" spans="1:9" ht="23.25" thickBot="1" x14ac:dyDescent="0.35">
      <c r="A892" s="251" t="s">
        <v>160</v>
      </c>
      <c r="B892" s="252"/>
      <c r="C892" s="252"/>
      <c r="D892" s="252"/>
      <c r="E892" s="252"/>
      <c r="F892" s="252"/>
      <c r="G892" s="252"/>
      <c r="H892" s="252"/>
      <c r="I892" s="253"/>
    </row>
    <row r="893" spans="1:9" ht="19.5" thickBot="1" x14ac:dyDescent="0.35">
      <c r="A893" s="254" t="s">
        <v>1</v>
      </c>
      <c r="B893" s="255"/>
      <c r="C893" s="255"/>
      <c r="D893" s="254" t="s">
        <v>2</v>
      </c>
      <c r="E893" s="255"/>
      <c r="F893" s="255"/>
      <c r="G893" s="255"/>
      <c r="H893" s="255"/>
      <c r="I893" s="256"/>
    </row>
    <row r="894" spans="1:9" ht="19.5" thickBot="1" x14ac:dyDescent="0.35">
      <c r="A894" s="1" t="s">
        <v>3</v>
      </c>
      <c r="B894" s="257" t="s">
        <v>4</v>
      </c>
      <c r="C894" s="258"/>
      <c r="D894" s="2" t="s">
        <v>5</v>
      </c>
      <c r="E894" s="2" t="s">
        <v>6</v>
      </c>
      <c r="F894" s="2" t="s">
        <v>7</v>
      </c>
      <c r="G894" s="2" t="s">
        <v>8</v>
      </c>
      <c r="H894" s="2" t="s">
        <v>9</v>
      </c>
      <c r="I894" s="151" t="s">
        <v>10</v>
      </c>
    </row>
    <row r="895" spans="1:9" ht="16.5" thickBot="1" x14ac:dyDescent="0.3">
      <c r="A895" s="152">
        <v>25</v>
      </c>
      <c r="B895" s="259" t="s">
        <v>163</v>
      </c>
      <c r="C895" s="259"/>
      <c r="D895" s="152"/>
      <c r="E895" s="152"/>
      <c r="F895" s="150">
        <v>550</v>
      </c>
      <c r="G895" s="152"/>
      <c r="H895" s="150"/>
      <c r="I895" s="26" t="s">
        <v>25</v>
      </c>
    </row>
    <row r="896" spans="1:9" ht="15.75" x14ac:dyDescent="0.25">
      <c r="A896" s="6">
        <v>25</v>
      </c>
      <c r="B896" s="260" t="s">
        <v>155</v>
      </c>
      <c r="C896" s="261"/>
      <c r="D896" s="153">
        <v>17</v>
      </c>
      <c r="E896" s="153"/>
      <c r="F896" s="153"/>
      <c r="G896" s="153"/>
      <c r="H896" s="153"/>
      <c r="I896" s="7" t="s">
        <v>161</v>
      </c>
    </row>
    <row r="897" spans="1:9" ht="15.75" x14ac:dyDescent="0.25">
      <c r="A897" s="6"/>
      <c r="B897" s="245"/>
      <c r="C897" s="247"/>
      <c r="D897" s="153"/>
      <c r="E897" s="153"/>
      <c r="F897" s="153"/>
      <c r="G897" s="153"/>
      <c r="H897" s="153">
        <f>14+14</f>
        <v>28</v>
      </c>
      <c r="I897" s="7" t="s">
        <v>164</v>
      </c>
    </row>
    <row r="898" spans="1:9" ht="15.75" x14ac:dyDescent="0.25">
      <c r="A898" s="6"/>
      <c r="B898" s="245"/>
      <c r="C898" s="247"/>
      <c r="D898" s="153"/>
      <c r="E898" s="153"/>
      <c r="F898" s="153">
        <v>350</v>
      </c>
      <c r="G898" s="153"/>
      <c r="H898" s="153"/>
      <c r="I898" s="7" t="s">
        <v>162</v>
      </c>
    </row>
    <row r="899" spans="1:9" ht="15.75" x14ac:dyDescent="0.25">
      <c r="A899" s="6"/>
      <c r="B899" s="245"/>
      <c r="C899" s="247"/>
      <c r="D899" s="152"/>
      <c r="E899" s="152"/>
      <c r="F899" s="152"/>
      <c r="G899" s="152"/>
      <c r="H899" s="152">
        <v>428</v>
      </c>
      <c r="I899" s="7" t="s">
        <v>134</v>
      </c>
    </row>
    <row r="900" spans="1:9" ht="15.75" x14ac:dyDescent="0.25">
      <c r="A900" s="8"/>
      <c r="B900" s="250"/>
      <c r="C900" s="247"/>
      <c r="D900" s="152"/>
      <c r="E900" s="152"/>
      <c r="F900" s="152"/>
      <c r="G900" s="152"/>
      <c r="H900" s="152">
        <v>110</v>
      </c>
      <c r="I900" s="7" t="s">
        <v>165</v>
      </c>
    </row>
    <row r="901" spans="1:9" ht="15.75" x14ac:dyDescent="0.25">
      <c r="A901" s="6"/>
      <c r="B901" s="245"/>
      <c r="C901" s="247"/>
      <c r="D901" s="152"/>
      <c r="E901" s="152"/>
      <c r="F901" s="152"/>
      <c r="G901" s="152"/>
      <c r="H901" s="152"/>
      <c r="I901" s="9"/>
    </row>
    <row r="902" spans="1:9" ht="15.75" x14ac:dyDescent="0.25">
      <c r="A902" s="6"/>
      <c r="B902" s="245"/>
      <c r="C902" s="247"/>
      <c r="D902" s="152"/>
      <c r="E902" s="152"/>
      <c r="F902" s="152"/>
      <c r="G902" s="152"/>
      <c r="H902" s="152"/>
      <c r="I902" s="7"/>
    </row>
    <row r="903" spans="1:9" ht="15.75" x14ac:dyDescent="0.25">
      <c r="A903" s="6"/>
      <c r="B903" s="245"/>
      <c r="C903" s="247"/>
      <c r="D903" s="152"/>
      <c r="E903" s="152"/>
      <c r="F903" s="152"/>
      <c r="G903" s="152"/>
      <c r="H903" s="152"/>
      <c r="I903" s="7"/>
    </row>
    <row r="904" spans="1:9" ht="15.75" x14ac:dyDescent="0.25">
      <c r="A904" s="6"/>
      <c r="B904" s="245"/>
      <c r="C904" s="247"/>
      <c r="D904" s="152"/>
      <c r="E904" s="152"/>
      <c r="F904" s="152"/>
      <c r="G904" s="152"/>
      <c r="H904" s="152"/>
      <c r="I904" s="7"/>
    </row>
    <row r="905" spans="1:9" ht="15.75" x14ac:dyDescent="0.25">
      <c r="A905" s="6"/>
      <c r="B905" s="245"/>
      <c r="C905" s="247"/>
      <c r="D905" s="152"/>
      <c r="E905" s="152"/>
      <c r="F905" s="152"/>
      <c r="G905" s="152"/>
      <c r="H905" s="152"/>
      <c r="I905" s="9"/>
    </row>
    <row r="906" spans="1:9" ht="15.75" x14ac:dyDescent="0.25">
      <c r="A906" s="6"/>
      <c r="B906" s="245"/>
      <c r="C906" s="247"/>
      <c r="D906" s="152"/>
      <c r="E906" s="152"/>
      <c r="F906" s="152"/>
      <c r="G906" s="152"/>
      <c r="H906" s="152"/>
      <c r="I906" s="9"/>
    </row>
    <row r="907" spans="1:9" ht="15.75" x14ac:dyDescent="0.25">
      <c r="A907" s="6"/>
      <c r="B907" s="245"/>
      <c r="C907" s="247"/>
      <c r="D907" s="152"/>
      <c r="E907" s="152"/>
      <c r="F907" s="152"/>
      <c r="G907" s="152"/>
      <c r="H907" s="152"/>
      <c r="I907" s="9"/>
    </row>
    <row r="908" spans="1:9" ht="15.75" x14ac:dyDescent="0.25">
      <c r="A908" s="6"/>
      <c r="B908" s="245"/>
      <c r="C908" s="247"/>
      <c r="D908" s="152"/>
      <c r="E908" s="152"/>
      <c r="F908" s="152"/>
      <c r="G908" s="152"/>
      <c r="H908" s="152"/>
      <c r="I908" s="9"/>
    </row>
    <row r="909" spans="1:9" ht="15.75" x14ac:dyDescent="0.25">
      <c r="A909" s="6"/>
      <c r="B909" s="245"/>
      <c r="C909" s="247"/>
      <c r="D909" s="152"/>
      <c r="E909" s="152"/>
      <c r="F909" s="152"/>
      <c r="G909" s="152"/>
      <c r="H909" s="152"/>
      <c r="I909" s="9"/>
    </row>
    <row r="910" spans="1:9" ht="15.75" x14ac:dyDescent="0.25">
      <c r="A910" s="6"/>
      <c r="B910" s="245"/>
      <c r="C910" s="247"/>
      <c r="D910" s="152"/>
      <c r="E910" s="152"/>
      <c r="F910" s="152"/>
      <c r="G910" s="152"/>
      <c r="H910" s="152"/>
      <c r="I910" s="9"/>
    </row>
    <row r="911" spans="1:9" ht="15.75" x14ac:dyDescent="0.25">
      <c r="A911" s="6"/>
      <c r="B911" s="245"/>
      <c r="C911" s="247"/>
      <c r="D911" s="152"/>
      <c r="E911" s="152"/>
      <c r="F911" s="152"/>
      <c r="G911" s="152"/>
      <c r="H911" s="152"/>
      <c r="I911" s="9"/>
    </row>
    <row r="912" spans="1:9" ht="15.75" x14ac:dyDescent="0.25">
      <c r="A912" s="6"/>
      <c r="B912" s="245"/>
      <c r="C912" s="247"/>
      <c r="D912" s="152"/>
      <c r="E912" s="152"/>
      <c r="F912" s="152"/>
      <c r="G912" s="152"/>
      <c r="H912" s="152"/>
      <c r="I912" s="9"/>
    </row>
    <row r="913" spans="1:9" ht="15.75" x14ac:dyDescent="0.25">
      <c r="A913" s="6"/>
      <c r="B913" s="245"/>
      <c r="C913" s="247"/>
      <c r="D913" s="152"/>
      <c r="E913" s="152"/>
      <c r="F913" s="152"/>
      <c r="G913" s="152"/>
      <c r="H913" s="152"/>
      <c r="I913" s="9"/>
    </row>
    <row r="914" spans="1:9" ht="18.75" x14ac:dyDescent="0.3">
      <c r="A914" s="6"/>
      <c r="B914" s="245"/>
      <c r="C914" s="247"/>
      <c r="D914" s="5"/>
      <c r="E914" s="5"/>
      <c r="F914" s="5"/>
      <c r="G914" s="10"/>
      <c r="H914" s="5"/>
      <c r="I914" s="11"/>
    </row>
    <row r="915" spans="1:9" ht="18.75" x14ac:dyDescent="0.3">
      <c r="A915" s="12"/>
      <c r="B915" s="245"/>
      <c r="C915" s="247"/>
      <c r="D915" s="13"/>
      <c r="E915" s="13"/>
      <c r="F915" s="13"/>
      <c r="G915" s="14"/>
      <c r="H915" s="13"/>
      <c r="I915" s="15"/>
    </row>
    <row r="916" spans="1:9" ht="18.75" x14ac:dyDescent="0.3">
      <c r="A916" s="12"/>
      <c r="B916" s="245"/>
      <c r="C916" s="247"/>
      <c r="D916" s="13"/>
      <c r="E916" s="13"/>
      <c r="F916" s="13"/>
      <c r="G916" s="14"/>
      <c r="H916" s="13"/>
      <c r="I916" s="15"/>
    </row>
    <row r="917" spans="1:9" ht="19.5" thickBot="1" x14ac:dyDescent="0.35">
      <c r="A917" s="12"/>
      <c r="B917" s="248"/>
      <c r="C917" s="249"/>
      <c r="D917" s="16"/>
      <c r="E917" s="16"/>
      <c r="F917" s="16"/>
      <c r="G917" s="14"/>
      <c r="H917" s="16"/>
      <c r="I917" s="15"/>
    </row>
    <row r="918" spans="1:9" ht="16.5" thickBot="1" x14ac:dyDescent="0.3">
      <c r="A918" s="17">
        <f>SUM(A895:A917)</f>
        <v>50</v>
      </c>
      <c r="B918" s="241"/>
      <c r="C918" s="242"/>
      <c r="D918" s="18">
        <f>SUM(D895:D917)</f>
        <v>17</v>
      </c>
      <c r="E918" s="19">
        <f>SUM(E895:E917)</f>
        <v>0</v>
      </c>
      <c r="F918" s="20">
        <f>SUM(F895:F917)</f>
        <v>900</v>
      </c>
      <c r="G918" s="21">
        <f>SUM(G895:G917)</f>
        <v>0</v>
      </c>
      <c r="H918" s="22">
        <f>SUM(H895:H917)</f>
        <v>566</v>
      </c>
      <c r="I918" s="148"/>
    </row>
    <row r="919" spans="1:9" ht="16.5" thickBot="1" x14ac:dyDescent="0.3">
      <c r="A919" s="17"/>
      <c r="B919" s="243">
        <f>H918-A918</f>
        <v>516</v>
      </c>
      <c r="C919" s="244"/>
      <c r="D919" s="149" t="s">
        <v>11</v>
      </c>
      <c r="E919" s="245">
        <f>H918+G918+F918+E918+D918</f>
        <v>1483</v>
      </c>
      <c r="F919" s="246"/>
      <c r="G919" s="246"/>
      <c r="H919" s="247"/>
      <c r="I919" s="148" t="s">
        <v>12</v>
      </c>
    </row>
    <row r="938" spans="1:9" ht="15.75" thickBot="1" x14ac:dyDescent="0.3"/>
    <row r="939" spans="1:9" ht="23.25" thickBot="1" x14ac:dyDescent="0.35">
      <c r="A939" s="251" t="s">
        <v>166</v>
      </c>
      <c r="B939" s="252"/>
      <c r="C939" s="252"/>
      <c r="D939" s="252"/>
      <c r="E939" s="252"/>
      <c r="F939" s="252"/>
      <c r="G939" s="252"/>
      <c r="H939" s="252"/>
      <c r="I939" s="253"/>
    </row>
    <row r="940" spans="1:9" ht="19.5" thickBot="1" x14ac:dyDescent="0.35">
      <c r="A940" s="254" t="s">
        <v>1</v>
      </c>
      <c r="B940" s="255"/>
      <c r="C940" s="255"/>
      <c r="D940" s="254" t="s">
        <v>2</v>
      </c>
      <c r="E940" s="255"/>
      <c r="F940" s="255"/>
      <c r="G940" s="255"/>
      <c r="H940" s="255"/>
      <c r="I940" s="256"/>
    </row>
    <row r="941" spans="1:9" ht="19.5" thickBot="1" x14ac:dyDescent="0.35">
      <c r="A941" s="1" t="s">
        <v>3</v>
      </c>
      <c r="B941" s="257" t="s">
        <v>4</v>
      </c>
      <c r="C941" s="258"/>
      <c r="D941" s="2" t="s">
        <v>5</v>
      </c>
      <c r="E941" s="2" t="s">
        <v>6</v>
      </c>
      <c r="F941" s="2" t="s">
        <v>7</v>
      </c>
      <c r="G941" s="2" t="s">
        <v>8</v>
      </c>
      <c r="H941" s="2" t="s">
        <v>9</v>
      </c>
      <c r="I941" s="157" t="s">
        <v>10</v>
      </c>
    </row>
    <row r="942" spans="1:9" ht="16.5" thickBot="1" x14ac:dyDescent="0.3">
      <c r="A942" s="158">
        <v>25</v>
      </c>
      <c r="B942" s="259" t="s">
        <v>31</v>
      </c>
      <c r="C942" s="259"/>
      <c r="D942" s="158"/>
      <c r="E942" s="158"/>
      <c r="F942" s="154"/>
      <c r="G942" s="158"/>
      <c r="H942" s="154">
        <f>500+50</f>
        <v>550</v>
      </c>
      <c r="I942" s="26" t="s">
        <v>167</v>
      </c>
    </row>
    <row r="943" spans="1:9" ht="15.75" x14ac:dyDescent="0.25">
      <c r="A943" s="6"/>
      <c r="B943" s="260"/>
      <c r="C943" s="261"/>
      <c r="D943" s="158"/>
      <c r="E943" s="158"/>
      <c r="F943" s="158"/>
      <c r="G943" s="158"/>
      <c r="H943" s="158">
        <v>200</v>
      </c>
      <c r="I943" s="7" t="s">
        <v>168</v>
      </c>
    </row>
    <row r="944" spans="1:9" ht="15.75" x14ac:dyDescent="0.25">
      <c r="A944" s="6"/>
      <c r="B944" s="245"/>
      <c r="C944" s="247"/>
      <c r="D944" s="158"/>
      <c r="E944" s="158"/>
      <c r="F944" s="158"/>
      <c r="G944" s="158"/>
      <c r="H944" s="158"/>
      <c r="I944" s="7"/>
    </row>
    <row r="945" spans="1:9" ht="15.75" x14ac:dyDescent="0.25">
      <c r="A945" s="6"/>
      <c r="B945" s="245"/>
      <c r="C945" s="247"/>
      <c r="D945" s="158"/>
      <c r="E945" s="158"/>
      <c r="F945" s="158"/>
      <c r="G945" s="158"/>
      <c r="H945" s="158"/>
      <c r="I945" s="7"/>
    </row>
    <row r="946" spans="1:9" ht="15.75" x14ac:dyDescent="0.25">
      <c r="A946" s="6"/>
      <c r="B946" s="245"/>
      <c r="C946" s="247"/>
      <c r="D946" s="158"/>
      <c r="E946" s="158"/>
      <c r="F946" s="158"/>
      <c r="G946" s="158"/>
      <c r="H946" s="158"/>
      <c r="I946" s="7"/>
    </row>
    <row r="947" spans="1:9" ht="15.75" x14ac:dyDescent="0.25">
      <c r="A947" s="8"/>
      <c r="B947" s="250"/>
      <c r="C947" s="247"/>
      <c r="D947" s="158"/>
      <c r="E947" s="158"/>
      <c r="F947" s="158"/>
      <c r="G947" s="158"/>
      <c r="H947" s="158"/>
      <c r="I947" s="7"/>
    </row>
    <row r="948" spans="1:9" ht="15.75" x14ac:dyDescent="0.25">
      <c r="A948" s="6"/>
      <c r="B948" s="245"/>
      <c r="C948" s="247"/>
      <c r="D948" s="158"/>
      <c r="E948" s="158"/>
      <c r="F948" s="158"/>
      <c r="G948" s="158"/>
      <c r="H948" s="158"/>
      <c r="I948" s="9"/>
    </row>
    <row r="949" spans="1:9" ht="15.75" x14ac:dyDescent="0.25">
      <c r="A949" s="6"/>
      <c r="B949" s="245"/>
      <c r="C949" s="247"/>
      <c r="D949" s="158"/>
      <c r="E949" s="158"/>
      <c r="F949" s="158"/>
      <c r="G949" s="158"/>
      <c r="H949" s="158"/>
      <c r="I949" s="7"/>
    </row>
    <row r="950" spans="1:9" ht="15.75" x14ac:dyDescent="0.25">
      <c r="A950" s="6"/>
      <c r="B950" s="245"/>
      <c r="C950" s="247"/>
      <c r="D950" s="158"/>
      <c r="E950" s="158"/>
      <c r="F950" s="158"/>
      <c r="G950" s="158"/>
      <c r="H950" s="158"/>
      <c r="I950" s="7"/>
    </row>
    <row r="951" spans="1:9" ht="15.75" x14ac:dyDescent="0.25">
      <c r="A951" s="6"/>
      <c r="B951" s="245"/>
      <c r="C951" s="247"/>
      <c r="D951" s="158"/>
      <c r="E951" s="158"/>
      <c r="F951" s="158"/>
      <c r="G951" s="158"/>
      <c r="H951" s="158"/>
      <c r="I951" s="7"/>
    </row>
    <row r="952" spans="1:9" ht="15.75" x14ac:dyDescent="0.25">
      <c r="A952" s="6"/>
      <c r="B952" s="245"/>
      <c r="C952" s="247"/>
      <c r="D952" s="158"/>
      <c r="E952" s="158"/>
      <c r="F952" s="158"/>
      <c r="G952" s="158"/>
      <c r="H952" s="158"/>
      <c r="I952" s="9"/>
    </row>
    <row r="953" spans="1:9" ht="15.75" x14ac:dyDescent="0.25">
      <c r="A953" s="6"/>
      <c r="B953" s="245"/>
      <c r="C953" s="247"/>
      <c r="D953" s="158"/>
      <c r="E953" s="158"/>
      <c r="F953" s="158"/>
      <c r="G953" s="158"/>
      <c r="H953" s="158"/>
      <c r="I953" s="9"/>
    </row>
    <row r="954" spans="1:9" ht="15.75" x14ac:dyDescent="0.25">
      <c r="A954" s="6"/>
      <c r="B954" s="245"/>
      <c r="C954" s="247"/>
      <c r="D954" s="158"/>
      <c r="E954" s="158"/>
      <c r="F954" s="158"/>
      <c r="G954" s="158"/>
      <c r="H954" s="158"/>
      <c r="I954" s="9"/>
    </row>
    <row r="955" spans="1:9" ht="15.75" x14ac:dyDescent="0.25">
      <c r="A955" s="6"/>
      <c r="B955" s="245"/>
      <c r="C955" s="247"/>
      <c r="D955" s="158"/>
      <c r="E955" s="158"/>
      <c r="F955" s="158"/>
      <c r="G955" s="158"/>
      <c r="H955" s="158"/>
      <c r="I955" s="9"/>
    </row>
    <row r="956" spans="1:9" ht="15.75" x14ac:dyDescent="0.25">
      <c r="A956" s="6"/>
      <c r="B956" s="245"/>
      <c r="C956" s="247"/>
      <c r="D956" s="158"/>
      <c r="E956" s="158"/>
      <c r="F956" s="158"/>
      <c r="G956" s="158"/>
      <c r="H956" s="158"/>
      <c r="I956" s="9"/>
    </row>
    <row r="957" spans="1:9" ht="15.75" x14ac:dyDescent="0.25">
      <c r="A957" s="6"/>
      <c r="B957" s="245"/>
      <c r="C957" s="247"/>
      <c r="D957" s="158"/>
      <c r="E957" s="158"/>
      <c r="F957" s="158"/>
      <c r="G957" s="158"/>
      <c r="H957" s="158"/>
      <c r="I957" s="9"/>
    </row>
    <row r="958" spans="1:9" ht="15.75" x14ac:dyDescent="0.25">
      <c r="A958" s="6"/>
      <c r="B958" s="245"/>
      <c r="C958" s="247"/>
      <c r="D958" s="158"/>
      <c r="E958" s="158"/>
      <c r="F958" s="158"/>
      <c r="G958" s="158"/>
      <c r="H958" s="158"/>
      <c r="I958" s="9"/>
    </row>
    <row r="959" spans="1:9" ht="15.75" x14ac:dyDescent="0.25">
      <c r="A959" s="6"/>
      <c r="B959" s="245"/>
      <c r="C959" s="247"/>
      <c r="D959" s="158"/>
      <c r="E959" s="158"/>
      <c r="F959" s="158"/>
      <c r="G959" s="158"/>
      <c r="H959" s="158"/>
      <c r="I959" s="9"/>
    </row>
    <row r="960" spans="1:9" ht="15.75" x14ac:dyDescent="0.25">
      <c r="A960" s="6"/>
      <c r="B960" s="245"/>
      <c r="C960" s="247"/>
      <c r="D960" s="158"/>
      <c r="E960" s="158"/>
      <c r="F960" s="158"/>
      <c r="G960" s="158"/>
      <c r="H960" s="158"/>
      <c r="I960" s="9"/>
    </row>
    <row r="961" spans="1:9" ht="18.75" x14ac:dyDescent="0.3">
      <c r="A961" s="6"/>
      <c r="B961" s="245"/>
      <c r="C961" s="247"/>
      <c r="D961" s="5"/>
      <c r="E961" s="5"/>
      <c r="F961" s="5"/>
      <c r="G961" s="10"/>
      <c r="H961" s="5"/>
      <c r="I961" s="11"/>
    </row>
    <row r="962" spans="1:9" ht="18.75" x14ac:dyDescent="0.3">
      <c r="A962" s="12"/>
      <c r="B962" s="245"/>
      <c r="C962" s="247"/>
      <c r="D962" s="13"/>
      <c r="E962" s="13"/>
      <c r="F962" s="13"/>
      <c r="G962" s="14"/>
      <c r="H962" s="13"/>
      <c r="I962" s="15"/>
    </row>
    <row r="963" spans="1:9" ht="18.75" x14ac:dyDescent="0.3">
      <c r="A963" s="12"/>
      <c r="B963" s="245"/>
      <c r="C963" s="247"/>
      <c r="D963" s="13"/>
      <c r="E963" s="13"/>
      <c r="F963" s="13"/>
      <c r="G963" s="14"/>
      <c r="H963" s="13"/>
      <c r="I963" s="15"/>
    </row>
    <row r="964" spans="1:9" ht="19.5" thickBot="1" x14ac:dyDescent="0.35">
      <c r="A964" s="12"/>
      <c r="B964" s="248"/>
      <c r="C964" s="249"/>
      <c r="D964" s="16"/>
      <c r="E964" s="16"/>
      <c r="F964" s="16"/>
      <c r="G964" s="14"/>
      <c r="H964" s="16"/>
      <c r="I964" s="15"/>
    </row>
    <row r="965" spans="1:9" ht="16.5" thickBot="1" x14ac:dyDescent="0.3">
      <c r="A965" s="17">
        <f>SUM(A942:A964)</f>
        <v>25</v>
      </c>
      <c r="B965" s="241"/>
      <c r="C965" s="242"/>
      <c r="D965" s="18">
        <f>SUM(D942:D964)</f>
        <v>0</v>
      </c>
      <c r="E965" s="19">
        <f>SUM(E942:E964)</f>
        <v>0</v>
      </c>
      <c r="F965" s="20">
        <f>SUM(F942:F964)</f>
        <v>0</v>
      </c>
      <c r="G965" s="21">
        <f>SUM(G942:G964)</f>
        <v>0</v>
      </c>
      <c r="H965" s="22">
        <f>SUM(H942:H964)</f>
        <v>750</v>
      </c>
      <c r="I965" s="155"/>
    </row>
    <row r="966" spans="1:9" ht="16.5" thickBot="1" x14ac:dyDescent="0.3">
      <c r="A966" s="17"/>
      <c r="B966" s="243">
        <f>H965-A965</f>
        <v>725</v>
      </c>
      <c r="C966" s="244"/>
      <c r="D966" s="156" t="s">
        <v>11</v>
      </c>
      <c r="E966" s="245">
        <f>H965+G965+F965+E965+D965</f>
        <v>750</v>
      </c>
      <c r="F966" s="246"/>
      <c r="G966" s="246"/>
      <c r="H966" s="247"/>
      <c r="I966" s="155" t="s">
        <v>12</v>
      </c>
    </row>
    <row r="985" spans="1:9" ht="15.75" thickBot="1" x14ac:dyDescent="0.3"/>
    <row r="986" spans="1:9" ht="23.25" thickBot="1" x14ac:dyDescent="0.35">
      <c r="A986" s="251" t="s">
        <v>169</v>
      </c>
      <c r="B986" s="252"/>
      <c r="C986" s="252"/>
      <c r="D986" s="252"/>
      <c r="E986" s="252"/>
      <c r="F986" s="252"/>
      <c r="G986" s="252"/>
      <c r="H986" s="252"/>
      <c r="I986" s="253"/>
    </row>
    <row r="987" spans="1:9" ht="19.5" thickBot="1" x14ac:dyDescent="0.35">
      <c r="A987" s="254" t="s">
        <v>1</v>
      </c>
      <c r="B987" s="255"/>
      <c r="C987" s="255"/>
      <c r="D987" s="254" t="s">
        <v>2</v>
      </c>
      <c r="E987" s="255"/>
      <c r="F987" s="255"/>
      <c r="G987" s="255"/>
      <c r="H987" s="255"/>
      <c r="I987" s="256"/>
    </row>
    <row r="988" spans="1:9" ht="19.5" thickBot="1" x14ac:dyDescent="0.35">
      <c r="A988" s="1" t="s">
        <v>3</v>
      </c>
      <c r="B988" s="257" t="s">
        <v>4</v>
      </c>
      <c r="C988" s="258"/>
      <c r="D988" s="2" t="s">
        <v>5</v>
      </c>
      <c r="E988" s="2" t="s">
        <v>6</v>
      </c>
      <c r="F988" s="2" t="s">
        <v>7</v>
      </c>
      <c r="G988" s="2" t="s">
        <v>8</v>
      </c>
      <c r="H988" s="2" t="s">
        <v>9</v>
      </c>
      <c r="I988" s="162" t="s">
        <v>10</v>
      </c>
    </row>
    <row r="989" spans="1:9" ht="16.5" thickBot="1" x14ac:dyDescent="0.3">
      <c r="A989" s="163">
        <v>10</v>
      </c>
      <c r="B989" s="259" t="s">
        <v>170</v>
      </c>
      <c r="C989" s="259"/>
      <c r="D989" s="163"/>
      <c r="E989" s="163"/>
      <c r="F989" s="159"/>
      <c r="G989" s="163"/>
      <c r="H989" s="159">
        <v>516</v>
      </c>
      <c r="I989" s="26" t="s">
        <v>134</v>
      </c>
    </row>
    <row r="990" spans="1:9" ht="15.75" x14ac:dyDescent="0.25">
      <c r="A990" s="6">
        <v>555</v>
      </c>
      <c r="B990" s="260" t="s">
        <v>178</v>
      </c>
      <c r="C990" s="261"/>
      <c r="D990" s="163"/>
      <c r="E990" s="163"/>
      <c r="F990" s="163"/>
      <c r="G990" s="163"/>
      <c r="H990" s="163">
        <f>450*4</f>
        <v>1800</v>
      </c>
      <c r="I990" s="7" t="s">
        <v>171</v>
      </c>
    </row>
    <row r="991" spans="1:9" ht="15.75" x14ac:dyDescent="0.25">
      <c r="A991" s="6">
        <v>20</v>
      </c>
      <c r="B991" s="245" t="s">
        <v>173</v>
      </c>
      <c r="C991" s="247"/>
      <c r="D991" s="163"/>
      <c r="E991" s="163"/>
      <c r="F991" s="163"/>
      <c r="G991" s="163"/>
      <c r="H991" s="163">
        <v>20</v>
      </c>
      <c r="I991" s="7" t="s">
        <v>172</v>
      </c>
    </row>
    <row r="992" spans="1:9" ht="15.75" x14ac:dyDescent="0.25">
      <c r="A992" s="6">
        <v>20</v>
      </c>
      <c r="B992" s="245" t="s">
        <v>174</v>
      </c>
      <c r="C992" s="247"/>
      <c r="D992" s="163"/>
      <c r="E992" s="163"/>
      <c r="F992" s="163"/>
      <c r="G992" s="163"/>
      <c r="H992" s="163">
        <v>289</v>
      </c>
      <c r="I992" s="7" t="s">
        <v>175</v>
      </c>
    </row>
    <row r="993" spans="1:9" ht="15.75" x14ac:dyDescent="0.25">
      <c r="A993" s="6"/>
      <c r="B993" s="245"/>
      <c r="C993" s="247"/>
      <c r="D993" s="163"/>
      <c r="E993" s="163"/>
      <c r="F993" s="163"/>
      <c r="G993" s="163"/>
      <c r="H993" s="163"/>
      <c r="I993" s="7"/>
    </row>
    <row r="994" spans="1:9" ht="15.75" x14ac:dyDescent="0.25">
      <c r="A994" s="8"/>
      <c r="B994" s="250"/>
      <c r="C994" s="247"/>
      <c r="D994" s="163"/>
      <c r="E994" s="163"/>
      <c r="F994" s="163"/>
      <c r="G994" s="163"/>
      <c r="H994" s="163"/>
      <c r="I994" s="7"/>
    </row>
    <row r="995" spans="1:9" ht="15.75" x14ac:dyDescent="0.25">
      <c r="A995" s="6"/>
      <c r="B995" s="245"/>
      <c r="C995" s="247"/>
      <c r="D995" s="163"/>
      <c r="E995" s="163"/>
      <c r="F995" s="163"/>
      <c r="G995" s="163"/>
      <c r="H995" s="163"/>
      <c r="I995" s="9"/>
    </row>
    <row r="996" spans="1:9" ht="15.75" x14ac:dyDescent="0.25">
      <c r="A996" s="6"/>
      <c r="B996" s="245"/>
      <c r="C996" s="247"/>
      <c r="D996" s="163"/>
      <c r="E996" s="163"/>
      <c r="F996" s="163"/>
      <c r="G996" s="163"/>
      <c r="H996" s="163"/>
      <c r="I996" s="7"/>
    </row>
    <row r="997" spans="1:9" ht="15.75" x14ac:dyDescent="0.25">
      <c r="A997" s="6"/>
      <c r="B997" s="245"/>
      <c r="C997" s="247"/>
      <c r="D997" s="163"/>
      <c r="E997" s="163"/>
      <c r="F997" s="163"/>
      <c r="G997" s="163"/>
      <c r="H997" s="163"/>
      <c r="I997" s="7"/>
    </row>
    <row r="998" spans="1:9" ht="15.75" x14ac:dyDescent="0.25">
      <c r="A998" s="6"/>
      <c r="B998" s="245"/>
      <c r="C998" s="247"/>
      <c r="D998" s="163"/>
      <c r="E998" s="163"/>
      <c r="F998" s="163"/>
      <c r="G998" s="163"/>
      <c r="H998" s="163"/>
      <c r="I998" s="7"/>
    </row>
    <row r="999" spans="1:9" ht="15.75" x14ac:dyDescent="0.25">
      <c r="A999" s="6"/>
      <c r="B999" s="245"/>
      <c r="C999" s="247"/>
      <c r="D999" s="163"/>
      <c r="E999" s="163"/>
      <c r="F999" s="163"/>
      <c r="G999" s="163"/>
      <c r="H999" s="163"/>
      <c r="I999" s="9"/>
    </row>
    <row r="1000" spans="1:9" ht="15.75" x14ac:dyDescent="0.25">
      <c r="A1000" s="6"/>
      <c r="B1000" s="245"/>
      <c r="C1000" s="247"/>
      <c r="D1000" s="163"/>
      <c r="E1000" s="163"/>
      <c r="F1000" s="163"/>
      <c r="G1000" s="163"/>
      <c r="H1000" s="163"/>
      <c r="I1000" s="9"/>
    </row>
    <row r="1001" spans="1:9" ht="15.75" x14ac:dyDescent="0.25">
      <c r="A1001" s="6"/>
      <c r="B1001" s="245"/>
      <c r="C1001" s="247"/>
      <c r="D1001" s="163"/>
      <c r="E1001" s="163"/>
      <c r="F1001" s="163"/>
      <c r="G1001" s="163"/>
      <c r="H1001" s="163"/>
      <c r="I1001" s="9"/>
    </row>
    <row r="1002" spans="1:9" ht="15.75" x14ac:dyDescent="0.25">
      <c r="A1002" s="6"/>
      <c r="B1002" s="245"/>
      <c r="C1002" s="247"/>
      <c r="D1002" s="163"/>
      <c r="E1002" s="163"/>
      <c r="F1002" s="163"/>
      <c r="G1002" s="163"/>
      <c r="H1002" s="163"/>
      <c r="I1002" s="9"/>
    </row>
    <row r="1003" spans="1:9" ht="15.75" x14ac:dyDescent="0.25">
      <c r="A1003" s="6"/>
      <c r="B1003" s="245"/>
      <c r="C1003" s="247"/>
      <c r="D1003" s="163"/>
      <c r="E1003" s="163"/>
      <c r="F1003" s="163"/>
      <c r="G1003" s="163"/>
      <c r="H1003" s="163"/>
      <c r="I1003" s="9"/>
    </row>
    <row r="1004" spans="1:9" ht="15.75" x14ac:dyDescent="0.25">
      <c r="A1004" s="6"/>
      <c r="B1004" s="245"/>
      <c r="C1004" s="247"/>
      <c r="D1004" s="163"/>
      <c r="E1004" s="163"/>
      <c r="F1004" s="163"/>
      <c r="G1004" s="163"/>
      <c r="H1004" s="163"/>
      <c r="I1004" s="9"/>
    </row>
    <row r="1005" spans="1:9" ht="15.75" x14ac:dyDescent="0.25">
      <c r="A1005" s="6"/>
      <c r="B1005" s="245"/>
      <c r="C1005" s="247"/>
      <c r="D1005" s="163"/>
      <c r="E1005" s="163"/>
      <c r="F1005" s="163"/>
      <c r="G1005" s="163"/>
      <c r="H1005" s="163"/>
      <c r="I1005" s="9"/>
    </row>
    <row r="1006" spans="1:9" ht="15.75" x14ac:dyDescent="0.25">
      <c r="A1006" s="6"/>
      <c r="B1006" s="245"/>
      <c r="C1006" s="247"/>
      <c r="D1006" s="163"/>
      <c r="E1006" s="163"/>
      <c r="F1006" s="163"/>
      <c r="G1006" s="163"/>
      <c r="H1006" s="163"/>
      <c r="I1006" s="9"/>
    </row>
    <row r="1007" spans="1:9" ht="15.75" x14ac:dyDescent="0.25">
      <c r="A1007" s="6"/>
      <c r="B1007" s="245"/>
      <c r="C1007" s="247"/>
      <c r="D1007" s="163"/>
      <c r="E1007" s="163"/>
      <c r="F1007" s="163"/>
      <c r="G1007" s="163"/>
      <c r="H1007" s="163"/>
      <c r="I1007" s="9"/>
    </row>
    <row r="1008" spans="1:9" ht="18.75" x14ac:dyDescent="0.3">
      <c r="A1008" s="6"/>
      <c r="B1008" s="245"/>
      <c r="C1008" s="247"/>
      <c r="D1008" s="5"/>
      <c r="E1008" s="5"/>
      <c r="F1008" s="5"/>
      <c r="G1008" s="10"/>
      <c r="H1008" s="5"/>
      <c r="I1008" s="11"/>
    </row>
    <row r="1009" spans="1:9" ht="18.75" x14ac:dyDescent="0.3">
      <c r="A1009" s="12"/>
      <c r="B1009" s="245"/>
      <c r="C1009" s="247"/>
      <c r="D1009" s="13"/>
      <c r="E1009" s="13"/>
      <c r="F1009" s="13"/>
      <c r="G1009" s="14"/>
      <c r="H1009" s="13"/>
      <c r="I1009" s="15"/>
    </row>
    <row r="1010" spans="1:9" ht="18.75" x14ac:dyDescent="0.3">
      <c r="A1010" s="12"/>
      <c r="B1010" s="245"/>
      <c r="C1010" s="247"/>
      <c r="D1010" s="13"/>
      <c r="E1010" s="13"/>
      <c r="F1010" s="13"/>
      <c r="G1010" s="14"/>
      <c r="H1010" s="13"/>
      <c r="I1010" s="15"/>
    </row>
    <row r="1011" spans="1:9" ht="19.5" thickBot="1" x14ac:dyDescent="0.35">
      <c r="A1011" s="12"/>
      <c r="B1011" s="248"/>
      <c r="C1011" s="249"/>
      <c r="D1011" s="16"/>
      <c r="E1011" s="16"/>
      <c r="F1011" s="16"/>
      <c r="G1011" s="14"/>
      <c r="H1011" s="16"/>
      <c r="I1011" s="15"/>
    </row>
    <row r="1012" spans="1:9" ht="16.5" thickBot="1" x14ac:dyDescent="0.3">
      <c r="A1012" s="17">
        <f>SUM(A989:A1011)</f>
        <v>605</v>
      </c>
      <c r="B1012" s="241"/>
      <c r="C1012" s="242"/>
      <c r="D1012" s="18">
        <f>SUM(D989:D1011)</f>
        <v>0</v>
      </c>
      <c r="E1012" s="19">
        <f>SUM(E989:E1011)</f>
        <v>0</v>
      </c>
      <c r="F1012" s="20">
        <f>SUM(F989:F1011)</f>
        <v>0</v>
      </c>
      <c r="G1012" s="21">
        <f>SUM(G989:G1011)</f>
        <v>0</v>
      </c>
      <c r="H1012" s="22">
        <f>SUM(H989:H1011)</f>
        <v>2625</v>
      </c>
      <c r="I1012" s="160"/>
    </row>
    <row r="1013" spans="1:9" ht="16.5" thickBot="1" x14ac:dyDescent="0.3">
      <c r="A1013" s="17"/>
      <c r="B1013" s="243">
        <f>H1012-A1012</f>
        <v>2020</v>
      </c>
      <c r="C1013" s="244"/>
      <c r="D1013" s="161" t="s">
        <v>11</v>
      </c>
      <c r="E1013" s="245">
        <f>H1012+G1012+F1012+E1012+D1012</f>
        <v>2625</v>
      </c>
      <c r="F1013" s="246"/>
      <c r="G1013" s="246"/>
      <c r="H1013" s="247"/>
      <c r="I1013" s="160" t="s">
        <v>12</v>
      </c>
    </row>
    <row r="1016" spans="1:9" ht="15.75" thickBot="1" x14ac:dyDescent="0.3"/>
    <row r="1017" spans="1:9" ht="23.25" thickBot="1" x14ac:dyDescent="0.35">
      <c r="A1017" s="251" t="s">
        <v>182</v>
      </c>
      <c r="B1017" s="252"/>
      <c r="C1017" s="252"/>
      <c r="D1017" s="252"/>
      <c r="E1017" s="252"/>
      <c r="F1017" s="252"/>
      <c r="G1017" s="252"/>
      <c r="H1017" s="252"/>
      <c r="I1017" s="253"/>
    </row>
    <row r="1018" spans="1:9" ht="19.5" thickBot="1" x14ac:dyDescent="0.35">
      <c r="A1018" s="254" t="s">
        <v>1</v>
      </c>
      <c r="B1018" s="255"/>
      <c r="C1018" s="255"/>
      <c r="D1018" s="254" t="s">
        <v>2</v>
      </c>
      <c r="E1018" s="255"/>
      <c r="F1018" s="255"/>
      <c r="G1018" s="255"/>
      <c r="H1018" s="255"/>
      <c r="I1018" s="256"/>
    </row>
    <row r="1019" spans="1:9" ht="19.5" thickBot="1" x14ac:dyDescent="0.35">
      <c r="A1019" s="1" t="s">
        <v>3</v>
      </c>
      <c r="B1019" s="257" t="s">
        <v>4</v>
      </c>
      <c r="C1019" s="258"/>
      <c r="D1019" s="2" t="s">
        <v>5</v>
      </c>
      <c r="E1019" s="2" t="s">
        <v>6</v>
      </c>
      <c r="F1019" s="2" t="s">
        <v>7</v>
      </c>
      <c r="G1019" s="2" t="s">
        <v>8</v>
      </c>
      <c r="H1019" s="2" t="s">
        <v>9</v>
      </c>
      <c r="I1019" s="167" t="s">
        <v>10</v>
      </c>
    </row>
    <row r="1020" spans="1:9" ht="16.5" thickBot="1" x14ac:dyDescent="0.3">
      <c r="A1020" s="168">
        <v>10</v>
      </c>
      <c r="B1020" s="259" t="s">
        <v>177</v>
      </c>
      <c r="C1020" s="259"/>
      <c r="D1020" s="168"/>
      <c r="E1020" s="168"/>
      <c r="F1020" s="166"/>
      <c r="G1020" s="168"/>
      <c r="H1020" s="166">
        <v>189</v>
      </c>
      <c r="I1020" s="26" t="s">
        <v>176</v>
      </c>
    </row>
    <row r="1021" spans="1:9" ht="15.75" x14ac:dyDescent="0.25">
      <c r="A1021" s="6">
        <v>15</v>
      </c>
      <c r="B1021" s="260" t="s">
        <v>180</v>
      </c>
      <c r="C1021" s="261"/>
      <c r="D1021" s="168"/>
      <c r="E1021" s="168"/>
      <c r="F1021" s="168"/>
      <c r="G1021" s="168"/>
      <c r="H1021" s="168">
        <v>215</v>
      </c>
      <c r="I1021" s="7" t="s">
        <v>176</v>
      </c>
    </row>
    <row r="1022" spans="1:9" ht="15.75" x14ac:dyDescent="0.25">
      <c r="A1022" s="6"/>
      <c r="B1022" s="245"/>
      <c r="C1022" s="247"/>
      <c r="D1022" s="168"/>
      <c r="E1022" s="168"/>
      <c r="F1022" s="168">
        <v>590</v>
      </c>
      <c r="G1022" s="168"/>
      <c r="H1022" s="168"/>
      <c r="I1022" s="7" t="s">
        <v>179</v>
      </c>
    </row>
    <row r="1023" spans="1:9" ht="15.75" x14ac:dyDescent="0.25">
      <c r="A1023" s="6"/>
      <c r="B1023" s="245"/>
      <c r="C1023" s="247"/>
      <c r="D1023" s="168"/>
      <c r="E1023" s="168"/>
      <c r="F1023" s="168"/>
      <c r="G1023" s="168"/>
      <c r="H1023" s="168">
        <v>45</v>
      </c>
      <c r="I1023" s="7" t="s">
        <v>181</v>
      </c>
    </row>
    <row r="1024" spans="1:9" ht="15.75" x14ac:dyDescent="0.25">
      <c r="A1024" s="6"/>
      <c r="B1024" s="245"/>
      <c r="C1024" s="247"/>
      <c r="D1024" s="168"/>
      <c r="E1024" s="168"/>
      <c r="F1024" s="168"/>
      <c r="G1024" s="168"/>
      <c r="H1024" s="168"/>
      <c r="I1024" s="7"/>
    </row>
    <row r="1025" spans="1:9" ht="15.75" x14ac:dyDescent="0.25">
      <c r="A1025" s="8"/>
      <c r="B1025" s="250"/>
      <c r="C1025" s="247"/>
      <c r="D1025" s="168"/>
      <c r="E1025" s="168"/>
      <c r="F1025" s="168"/>
      <c r="G1025" s="168"/>
      <c r="H1025" s="168"/>
      <c r="I1025" s="7"/>
    </row>
    <row r="1026" spans="1:9" ht="15.75" x14ac:dyDescent="0.25">
      <c r="A1026" s="6"/>
      <c r="B1026" s="245"/>
      <c r="C1026" s="247"/>
      <c r="D1026" s="168"/>
      <c r="E1026" s="168"/>
      <c r="F1026" s="168"/>
      <c r="G1026" s="168"/>
      <c r="H1026" s="168"/>
      <c r="I1026" s="9"/>
    </row>
    <row r="1027" spans="1:9" ht="15.75" x14ac:dyDescent="0.25">
      <c r="A1027" s="6"/>
      <c r="B1027" s="245"/>
      <c r="C1027" s="247"/>
      <c r="D1027" s="168"/>
      <c r="E1027" s="168"/>
      <c r="F1027" s="168"/>
      <c r="G1027" s="168"/>
      <c r="H1027" s="168"/>
      <c r="I1027" s="7"/>
    </row>
    <row r="1028" spans="1:9" ht="15.75" x14ac:dyDescent="0.25">
      <c r="A1028" s="6"/>
      <c r="B1028" s="245"/>
      <c r="C1028" s="247"/>
      <c r="D1028" s="168"/>
      <c r="E1028" s="168"/>
      <c r="F1028" s="168"/>
      <c r="G1028" s="168"/>
      <c r="H1028" s="168"/>
      <c r="I1028" s="7"/>
    </row>
    <row r="1029" spans="1:9" ht="15.75" x14ac:dyDescent="0.25">
      <c r="A1029" s="6"/>
      <c r="B1029" s="245"/>
      <c r="C1029" s="247"/>
      <c r="D1029" s="168"/>
      <c r="E1029" s="168"/>
      <c r="F1029" s="168"/>
      <c r="G1029" s="168"/>
      <c r="H1029" s="168"/>
      <c r="I1029" s="7"/>
    </row>
    <row r="1030" spans="1:9" ht="15.75" x14ac:dyDescent="0.25">
      <c r="A1030" s="6"/>
      <c r="B1030" s="245"/>
      <c r="C1030" s="247"/>
      <c r="D1030" s="168"/>
      <c r="E1030" s="168"/>
      <c r="F1030" s="168"/>
      <c r="G1030" s="168"/>
      <c r="H1030" s="168"/>
      <c r="I1030" s="9"/>
    </row>
    <row r="1031" spans="1:9" ht="15.75" x14ac:dyDescent="0.25">
      <c r="A1031" s="6"/>
      <c r="B1031" s="245"/>
      <c r="C1031" s="247"/>
      <c r="D1031" s="168"/>
      <c r="E1031" s="168"/>
      <c r="F1031" s="168"/>
      <c r="G1031" s="168"/>
      <c r="H1031" s="168"/>
      <c r="I1031" s="9"/>
    </row>
    <row r="1032" spans="1:9" ht="15.75" x14ac:dyDescent="0.25">
      <c r="A1032" s="6"/>
      <c r="B1032" s="245"/>
      <c r="C1032" s="247"/>
      <c r="D1032" s="168"/>
      <c r="E1032" s="168"/>
      <c r="F1032" s="168"/>
      <c r="G1032" s="168"/>
      <c r="H1032" s="168"/>
      <c r="I1032" s="9"/>
    </row>
    <row r="1033" spans="1:9" ht="15.75" x14ac:dyDescent="0.25">
      <c r="A1033" s="6"/>
      <c r="B1033" s="245"/>
      <c r="C1033" s="247"/>
      <c r="D1033" s="168"/>
      <c r="E1033" s="168"/>
      <c r="F1033" s="168"/>
      <c r="G1033" s="168"/>
      <c r="H1033" s="168"/>
      <c r="I1033" s="9"/>
    </row>
    <row r="1034" spans="1:9" ht="15.75" x14ac:dyDescent="0.25">
      <c r="A1034" s="6"/>
      <c r="B1034" s="245"/>
      <c r="C1034" s="247"/>
      <c r="D1034" s="168"/>
      <c r="E1034" s="168"/>
      <c r="F1034" s="168"/>
      <c r="G1034" s="168"/>
      <c r="H1034" s="168"/>
      <c r="I1034" s="9"/>
    </row>
    <row r="1035" spans="1:9" ht="15.75" x14ac:dyDescent="0.25">
      <c r="A1035" s="6"/>
      <c r="B1035" s="245"/>
      <c r="C1035" s="247"/>
      <c r="D1035" s="168"/>
      <c r="E1035" s="168"/>
      <c r="F1035" s="168"/>
      <c r="G1035" s="168"/>
      <c r="H1035" s="168"/>
      <c r="I1035" s="9"/>
    </row>
    <row r="1036" spans="1:9" ht="15.75" x14ac:dyDescent="0.25">
      <c r="A1036" s="6"/>
      <c r="B1036" s="245"/>
      <c r="C1036" s="247"/>
      <c r="D1036" s="168"/>
      <c r="E1036" s="168"/>
      <c r="F1036" s="168"/>
      <c r="G1036" s="168"/>
      <c r="H1036" s="168"/>
      <c r="I1036" s="9"/>
    </row>
    <row r="1037" spans="1:9" ht="15.75" x14ac:dyDescent="0.25">
      <c r="A1037" s="6"/>
      <c r="B1037" s="245"/>
      <c r="C1037" s="247"/>
      <c r="D1037" s="168"/>
      <c r="E1037" s="168"/>
      <c r="F1037" s="168"/>
      <c r="G1037" s="168"/>
      <c r="H1037" s="168"/>
      <c r="I1037" s="9"/>
    </row>
    <row r="1038" spans="1:9" ht="15.75" x14ac:dyDescent="0.25">
      <c r="A1038" s="6"/>
      <c r="B1038" s="245"/>
      <c r="C1038" s="247"/>
      <c r="D1038" s="168"/>
      <c r="E1038" s="168"/>
      <c r="F1038" s="168"/>
      <c r="G1038" s="168"/>
      <c r="H1038" s="168"/>
      <c r="I1038" s="9"/>
    </row>
    <row r="1039" spans="1:9" ht="18.75" x14ac:dyDescent="0.3">
      <c r="A1039" s="6"/>
      <c r="B1039" s="245"/>
      <c r="C1039" s="247"/>
      <c r="D1039" s="5"/>
      <c r="E1039" s="5"/>
      <c r="F1039" s="5"/>
      <c r="G1039" s="10"/>
      <c r="H1039" s="5"/>
      <c r="I1039" s="11"/>
    </row>
    <row r="1040" spans="1:9" ht="18.75" x14ac:dyDescent="0.3">
      <c r="A1040" s="12"/>
      <c r="B1040" s="245"/>
      <c r="C1040" s="247"/>
      <c r="D1040" s="13"/>
      <c r="E1040" s="13"/>
      <c r="F1040" s="13"/>
      <c r="G1040" s="14"/>
      <c r="H1040" s="13"/>
      <c r="I1040" s="15"/>
    </row>
    <row r="1041" spans="1:9" ht="18.75" x14ac:dyDescent="0.3">
      <c r="A1041" s="12"/>
      <c r="B1041" s="245"/>
      <c r="C1041" s="247"/>
      <c r="D1041" s="13"/>
      <c r="E1041" s="13"/>
      <c r="F1041" s="13"/>
      <c r="G1041" s="14"/>
      <c r="H1041" s="13"/>
      <c r="I1041" s="15"/>
    </row>
    <row r="1042" spans="1:9" ht="19.5" thickBot="1" x14ac:dyDescent="0.35">
      <c r="A1042" s="12"/>
      <c r="B1042" s="248"/>
      <c r="C1042" s="249"/>
      <c r="D1042" s="16"/>
      <c r="E1042" s="16"/>
      <c r="F1042" s="16"/>
      <c r="G1042" s="14"/>
      <c r="H1042" s="16"/>
      <c r="I1042" s="15"/>
    </row>
    <row r="1043" spans="1:9" ht="16.5" thickBot="1" x14ac:dyDescent="0.3">
      <c r="A1043" s="17">
        <f>SUM(A1020:A1042)</f>
        <v>25</v>
      </c>
      <c r="B1043" s="241"/>
      <c r="C1043" s="242"/>
      <c r="D1043" s="18">
        <f>SUM(D1020:D1042)</f>
        <v>0</v>
      </c>
      <c r="E1043" s="19">
        <f>SUM(E1020:E1042)</f>
        <v>0</v>
      </c>
      <c r="F1043" s="20">
        <f>SUM(F1020:F1042)</f>
        <v>590</v>
      </c>
      <c r="G1043" s="21">
        <f>SUM(G1020:G1042)</f>
        <v>0</v>
      </c>
      <c r="H1043" s="22">
        <f>SUM(H1020:H1042)</f>
        <v>449</v>
      </c>
      <c r="I1043" s="164"/>
    </row>
    <row r="1044" spans="1:9" ht="16.5" thickBot="1" x14ac:dyDescent="0.3">
      <c r="A1044" s="17"/>
      <c r="B1044" s="243">
        <f>H1043-A1043</f>
        <v>424</v>
      </c>
      <c r="C1044" s="244"/>
      <c r="D1044" s="165" t="s">
        <v>11</v>
      </c>
      <c r="E1044" s="245">
        <f>H1043+G1043+F1043+E1043+D1043</f>
        <v>1039</v>
      </c>
      <c r="F1044" s="246"/>
      <c r="G1044" s="246"/>
      <c r="H1044" s="247"/>
      <c r="I1044" s="164" t="s">
        <v>12</v>
      </c>
    </row>
    <row r="1067" spans="1:9" ht="15.75" thickBot="1" x14ac:dyDescent="0.3"/>
    <row r="1068" spans="1:9" ht="23.25" thickBot="1" x14ac:dyDescent="0.35">
      <c r="A1068" s="251" t="s">
        <v>183</v>
      </c>
      <c r="B1068" s="252"/>
      <c r="C1068" s="252"/>
      <c r="D1068" s="252"/>
      <c r="E1068" s="252"/>
      <c r="F1068" s="252"/>
      <c r="G1068" s="252"/>
      <c r="H1068" s="252"/>
      <c r="I1068" s="253"/>
    </row>
    <row r="1069" spans="1:9" ht="19.5" thickBot="1" x14ac:dyDescent="0.35">
      <c r="A1069" s="254" t="s">
        <v>1</v>
      </c>
      <c r="B1069" s="255"/>
      <c r="C1069" s="255"/>
      <c r="D1069" s="254" t="s">
        <v>2</v>
      </c>
      <c r="E1069" s="255"/>
      <c r="F1069" s="255"/>
      <c r="G1069" s="255"/>
      <c r="H1069" s="255"/>
      <c r="I1069" s="256"/>
    </row>
    <row r="1070" spans="1:9" ht="19.5" thickBot="1" x14ac:dyDescent="0.35">
      <c r="A1070" s="1" t="s">
        <v>3</v>
      </c>
      <c r="B1070" s="257" t="s">
        <v>4</v>
      </c>
      <c r="C1070" s="258"/>
      <c r="D1070" s="2" t="s">
        <v>5</v>
      </c>
      <c r="E1070" s="2" t="s">
        <v>6</v>
      </c>
      <c r="F1070" s="2" t="s">
        <v>7</v>
      </c>
      <c r="G1070" s="2" t="s">
        <v>8</v>
      </c>
      <c r="H1070" s="2" t="s">
        <v>9</v>
      </c>
      <c r="I1070" s="172" t="s">
        <v>10</v>
      </c>
    </row>
    <row r="1071" spans="1:9" ht="16.5" thickBot="1" x14ac:dyDescent="0.3">
      <c r="A1071" s="173">
        <v>20</v>
      </c>
      <c r="B1071" s="259" t="s">
        <v>184</v>
      </c>
      <c r="C1071" s="259"/>
      <c r="D1071" s="173">
        <v>440</v>
      </c>
      <c r="E1071" s="173"/>
      <c r="F1071" s="171"/>
      <c r="G1071" s="173"/>
      <c r="H1071" s="171"/>
      <c r="I1071" s="26" t="s">
        <v>189</v>
      </c>
    </row>
    <row r="1072" spans="1:9" ht="15.75" x14ac:dyDescent="0.25">
      <c r="A1072" s="6">
        <v>20</v>
      </c>
      <c r="B1072" s="260" t="s">
        <v>41</v>
      </c>
      <c r="C1072" s="261"/>
      <c r="D1072" s="173"/>
      <c r="E1072" s="173"/>
      <c r="F1072" s="173"/>
      <c r="G1072" s="173"/>
      <c r="H1072" s="173">
        <v>215</v>
      </c>
      <c r="I1072" s="7" t="s">
        <v>185</v>
      </c>
    </row>
    <row r="1073" spans="1:9" ht="15.75" x14ac:dyDescent="0.25">
      <c r="A1073" s="6"/>
      <c r="B1073" s="245"/>
      <c r="C1073" s="247"/>
      <c r="D1073" s="173"/>
      <c r="E1073" s="173"/>
      <c r="F1073" s="173"/>
      <c r="G1073" s="173"/>
      <c r="H1073" s="173">
        <v>300</v>
      </c>
      <c r="I1073" s="7" t="s">
        <v>186</v>
      </c>
    </row>
    <row r="1074" spans="1:9" ht="15.75" x14ac:dyDescent="0.25">
      <c r="A1074" s="6"/>
      <c r="B1074" s="245"/>
      <c r="C1074" s="247"/>
      <c r="D1074" s="173"/>
      <c r="E1074" s="173"/>
      <c r="F1074" s="173"/>
      <c r="G1074" s="173"/>
      <c r="H1074" s="173">
        <v>35</v>
      </c>
      <c r="I1074" s="7" t="s">
        <v>187</v>
      </c>
    </row>
    <row r="1075" spans="1:9" ht="15.75" x14ac:dyDescent="0.25">
      <c r="A1075" s="6"/>
      <c r="B1075" s="245"/>
      <c r="C1075" s="247"/>
      <c r="D1075" s="173"/>
      <c r="E1075" s="173"/>
      <c r="F1075" s="173"/>
      <c r="G1075" s="173"/>
      <c r="H1075" s="173">
        <v>40</v>
      </c>
      <c r="I1075" s="7" t="s">
        <v>188</v>
      </c>
    </row>
    <row r="1076" spans="1:9" ht="15.75" x14ac:dyDescent="0.25">
      <c r="A1076" s="8"/>
      <c r="B1076" s="250"/>
      <c r="C1076" s="247"/>
      <c r="D1076" s="173"/>
      <c r="E1076" s="173"/>
      <c r="F1076" s="173"/>
      <c r="G1076" s="173"/>
      <c r="H1076" s="173">
        <v>235</v>
      </c>
      <c r="I1076" s="7" t="s">
        <v>190</v>
      </c>
    </row>
    <row r="1077" spans="1:9" ht="15.75" x14ac:dyDescent="0.25">
      <c r="A1077" s="6"/>
      <c r="B1077" s="245"/>
      <c r="C1077" s="247"/>
      <c r="D1077" s="173"/>
      <c r="E1077" s="173"/>
      <c r="F1077" s="173"/>
      <c r="G1077" s="173"/>
      <c r="H1077" s="173"/>
      <c r="I1077" s="9"/>
    </row>
    <row r="1078" spans="1:9" ht="15.75" x14ac:dyDescent="0.25">
      <c r="A1078" s="6"/>
      <c r="B1078" s="245"/>
      <c r="C1078" s="247"/>
      <c r="D1078" s="173"/>
      <c r="E1078" s="173"/>
      <c r="F1078" s="173"/>
      <c r="G1078" s="173"/>
      <c r="H1078" s="173"/>
      <c r="I1078" s="7"/>
    </row>
    <row r="1079" spans="1:9" ht="15.75" x14ac:dyDescent="0.25">
      <c r="A1079" s="6"/>
      <c r="B1079" s="245"/>
      <c r="C1079" s="247"/>
      <c r="D1079" s="173"/>
      <c r="E1079" s="173"/>
      <c r="F1079" s="173"/>
      <c r="G1079" s="173"/>
      <c r="H1079" s="173"/>
      <c r="I1079" s="7"/>
    </row>
    <row r="1080" spans="1:9" ht="15.75" x14ac:dyDescent="0.25">
      <c r="A1080" s="6"/>
      <c r="B1080" s="245"/>
      <c r="C1080" s="247"/>
      <c r="D1080" s="173"/>
      <c r="E1080" s="173"/>
      <c r="F1080" s="173"/>
      <c r="G1080" s="173"/>
      <c r="H1080" s="173"/>
      <c r="I1080" s="7"/>
    </row>
    <row r="1081" spans="1:9" ht="15.75" x14ac:dyDescent="0.25">
      <c r="A1081" s="6"/>
      <c r="B1081" s="245"/>
      <c r="C1081" s="247"/>
      <c r="D1081" s="173"/>
      <c r="E1081" s="173"/>
      <c r="F1081" s="173"/>
      <c r="G1081" s="173"/>
      <c r="H1081" s="173"/>
      <c r="I1081" s="9"/>
    </row>
    <row r="1082" spans="1:9" ht="15.75" x14ac:dyDescent="0.25">
      <c r="A1082" s="6"/>
      <c r="B1082" s="245"/>
      <c r="C1082" s="247"/>
      <c r="D1082" s="173"/>
      <c r="E1082" s="173"/>
      <c r="F1082" s="173"/>
      <c r="G1082" s="173"/>
      <c r="H1082" s="173"/>
      <c r="I1082" s="9"/>
    </row>
    <row r="1083" spans="1:9" ht="15.75" x14ac:dyDescent="0.25">
      <c r="A1083" s="6"/>
      <c r="B1083" s="245"/>
      <c r="C1083" s="247"/>
      <c r="D1083" s="173"/>
      <c r="E1083" s="173"/>
      <c r="F1083" s="173"/>
      <c r="G1083" s="173"/>
      <c r="H1083" s="173"/>
      <c r="I1083" s="9"/>
    </row>
    <row r="1084" spans="1:9" ht="15.75" x14ac:dyDescent="0.25">
      <c r="A1084" s="6"/>
      <c r="B1084" s="245"/>
      <c r="C1084" s="247"/>
      <c r="D1084" s="173"/>
      <c r="E1084" s="173"/>
      <c r="F1084" s="173"/>
      <c r="G1084" s="173"/>
      <c r="H1084" s="173"/>
      <c r="I1084" s="9"/>
    </row>
    <row r="1085" spans="1:9" ht="15.75" x14ac:dyDescent="0.25">
      <c r="A1085" s="6"/>
      <c r="B1085" s="245"/>
      <c r="C1085" s="247"/>
      <c r="D1085" s="173"/>
      <c r="E1085" s="173"/>
      <c r="F1085" s="173"/>
      <c r="G1085" s="173"/>
      <c r="H1085" s="173"/>
      <c r="I1085" s="9"/>
    </row>
    <row r="1086" spans="1:9" ht="15.75" x14ac:dyDescent="0.25">
      <c r="A1086" s="6"/>
      <c r="B1086" s="245"/>
      <c r="C1086" s="247"/>
      <c r="D1086" s="173"/>
      <c r="E1086" s="173"/>
      <c r="F1086" s="173"/>
      <c r="G1086" s="173"/>
      <c r="H1086" s="173"/>
      <c r="I1086" s="9"/>
    </row>
    <row r="1087" spans="1:9" ht="15.75" x14ac:dyDescent="0.25">
      <c r="A1087" s="6"/>
      <c r="B1087" s="245"/>
      <c r="C1087" s="247"/>
      <c r="D1087" s="173"/>
      <c r="E1087" s="173"/>
      <c r="F1087" s="173"/>
      <c r="G1087" s="173"/>
      <c r="H1087" s="173"/>
      <c r="I1087" s="9"/>
    </row>
    <row r="1088" spans="1:9" ht="15.75" x14ac:dyDescent="0.25">
      <c r="A1088" s="6"/>
      <c r="B1088" s="245"/>
      <c r="C1088" s="247"/>
      <c r="D1088" s="173"/>
      <c r="E1088" s="173"/>
      <c r="F1088" s="173"/>
      <c r="G1088" s="173"/>
      <c r="H1088" s="173"/>
      <c r="I1088" s="9"/>
    </row>
    <row r="1089" spans="1:9" ht="15.75" x14ac:dyDescent="0.25">
      <c r="A1089" s="6"/>
      <c r="B1089" s="245"/>
      <c r="C1089" s="247"/>
      <c r="D1089" s="173"/>
      <c r="E1089" s="173"/>
      <c r="F1089" s="173"/>
      <c r="G1089" s="173"/>
      <c r="H1089" s="173"/>
      <c r="I1089" s="9"/>
    </row>
    <row r="1090" spans="1:9" ht="18.75" x14ac:dyDescent="0.3">
      <c r="A1090" s="6"/>
      <c r="B1090" s="245"/>
      <c r="C1090" s="247"/>
      <c r="D1090" s="5"/>
      <c r="E1090" s="5"/>
      <c r="F1090" s="5"/>
      <c r="G1090" s="10"/>
      <c r="H1090" s="5"/>
      <c r="I1090" s="11"/>
    </row>
    <row r="1091" spans="1:9" ht="18.75" x14ac:dyDescent="0.3">
      <c r="A1091" s="12"/>
      <c r="B1091" s="245"/>
      <c r="C1091" s="247"/>
      <c r="D1091" s="13"/>
      <c r="E1091" s="13"/>
      <c r="F1091" s="13"/>
      <c r="G1091" s="14"/>
      <c r="H1091" s="13"/>
      <c r="I1091" s="15"/>
    </row>
    <row r="1092" spans="1:9" ht="18.75" x14ac:dyDescent="0.3">
      <c r="A1092" s="12"/>
      <c r="B1092" s="245"/>
      <c r="C1092" s="247"/>
      <c r="D1092" s="13"/>
      <c r="E1092" s="13"/>
      <c r="F1092" s="13"/>
      <c r="G1092" s="14"/>
      <c r="H1092" s="13"/>
      <c r="I1092" s="15"/>
    </row>
    <row r="1093" spans="1:9" ht="19.5" thickBot="1" x14ac:dyDescent="0.35">
      <c r="A1093" s="12"/>
      <c r="B1093" s="248"/>
      <c r="C1093" s="249"/>
      <c r="D1093" s="16"/>
      <c r="E1093" s="16"/>
      <c r="F1093" s="16"/>
      <c r="G1093" s="14"/>
      <c r="H1093" s="16"/>
      <c r="I1093" s="15"/>
    </row>
    <row r="1094" spans="1:9" ht="16.5" thickBot="1" x14ac:dyDescent="0.3">
      <c r="A1094" s="17">
        <f>SUM(A1071:A1093)</f>
        <v>40</v>
      </c>
      <c r="B1094" s="241"/>
      <c r="C1094" s="242"/>
      <c r="D1094" s="18">
        <f>SUM(D1071:D1093)</f>
        <v>440</v>
      </c>
      <c r="E1094" s="19">
        <f>SUM(E1071:E1093)</f>
        <v>0</v>
      </c>
      <c r="F1094" s="20">
        <f>SUM(F1071:F1093)</f>
        <v>0</v>
      </c>
      <c r="G1094" s="21">
        <f>SUM(G1071:G1093)</f>
        <v>0</v>
      </c>
      <c r="H1094" s="22">
        <f>SUM(H1071:H1093)</f>
        <v>825</v>
      </c>
      <c r="I1094" s="169"/>
    </row>
    <row r="1095" spans="1:9" ht="16.5" thickBot="1" x14ac:dyDescent="0.3">
      <c r="A1095" s="17"/>
      <c r="B1095" s="243">
        <f>H1094-A1094</f>
        <v>785</v>
      </c>
      <c r="C1095" s="244"/>
      <c r="D1095" s="170" t="s">
        <v>11</v>
      </c>
      <c r="E1095" s="245">
        <f>H1094+G1094+F1094+E1094+D1094</f>
        <v>1265</v>
      </c>
      <c r="F1095" s="246"/>
      <c r="G1095" s="246"/>
      <c r="H1095" s="247"/>
      <c r="I1095" s="169" t="s">
        <v>12</v>
      </c>
    </row>
    <row r="1118" spans="1:9" ht="15.75" thickBot="1" x14ac:dyDescent="0.3"/>
    <row r="1119" spans="1:9" ht="23.25" thickBot="1" x14ac:dyDescent="0.35">
      <c r="A1119" s="251" t="s">
        <v>191</v>
      </c>
      <c r="B1119" s="252"/>
      <c r="C1119" s="252"/>
      <c r="D1119" s="252"/>
      <c r="E1119" s="252"/>
      <c r="F1119" s="252"/>
      <c r="G1119" s="252"/>
      <c r="H1119" s="252"/>
      <c r="I1119" s="253"/>
    </row>
    <row r="1120" spans="1:9" ht="19.5" thickBot="1" x14ac:dyDescent="0.35">
      <c r="A1120" s="254" t="s">
        <v>1</v>
      </c>
      <c r="B1120" s="255"/>
      <c r="C1120" s="255"/>
      <c r="D1120" s="254" t="s">
        <v>2</v>
      </c>
      <c r="E1120" s="255"/>
      <c r="F1120" s="255"/>
      <c r="G1120" s="255"/>
      <c r="H1120" s="255"/>
      <c r="I1120" s="256"/>
    </row>
    <row r="1121" spans="1:9" ht="19.5" thickBot="1" x14ac:dyDescent="0.35">
      <c r="A1121" s="1" t="s">
        <v>3</v>
      </c>
      <c r="B1121" s="257" t="s">
        <v>4</v>
      </c>
      <c r="C1121" s="258"/>
      <c r="D1121" s="2" t="s">
        <v>5</v>
      </c>
      <c r="E1121" s="2" t="s">
        <v>6</v>
      </c>
      <c r="F1121" s="2" t="s">
        <v>7</v>
      </c>
      <c r="G1121" s="2" t="s">
        <v>8</v>
      </c>
      <c r="H1121" s="2" t="s">
        <v>9</v>
      </c>
      <c r="I1121" s="177" t="s">
        <v>10</v>
      </c>
    </row>
    <row r="1122" spans="1:9" ht="16.5" thickBot="1" x14ac:dyDescent="0.3">
      <c r="A1122" s="178">
        <v>20</v>
      </c>
      <c r="B1122" s="259" t="s">
        <v>192</v>
      </c>
      <c r="C1122" s="259"/>
      <c r="D1122" s="178"/>
      <c r="E1122" s="178"/>
      <c r="F1122" s="176"/>
      <c r="G1122" s="178"/>
      <c r="H1122" s="176">
        <v>5</v>
      </c>
      <c r="I1122" s="185" t="s">
        <v>193</v>
      </c>
    </row>
    <row r="1123" spans="1:9" ht="15.75" x14ac:dyDescent="0.25">
      <c r="A1123" s="6">
        <v>360</v>
      </c>
      <c r="B1123" s="260" t="s">
        <v>199</v>
      </c>
      <c r="C1123" s="261"/>
      <c r="D1123" s="178"/>
      <c r="E1123" s="178"/>
      <c r="F1123" s="178"/>
      <c r="G1123" s="178"/>
      <c r="H1123" s="178">
        <v>870</v>
      </c>
      <c r="I1123" s="184" t="s">
        <v>194</v>
      </c>
    </row>
    <row r="1124" spans="1:9" ht="15.75" x14ac:dyDescent="0.25">
      <c r="A1124" s="6">
        <v>20</v>
      </c>
      <c r="B1124" s="245" t="s">
        <v>48</v>
      </c>
      <c r="C1124" s="247"/>
      <c r="D1124" s="178"/>
      <c r="E1124" s="178"/>
      <c r="F1124" s="178"/>
      <c r="G1124" s="178"/>
      <c r="H1124" s="178">
        <v>700</v>
      </c>
      <c r="I1124" s="184" t="s">
        <v>197</v>
      </c>
    </row>
    <row r="1125" spans="1:9" ht="15.75" x14ac:dyDescent="0.25">
      <c r="A1125" s="6"/>
      <c r="B1125" s="245"/>
      <c r="C1125" s="247"/>
      <c r="D1125" s="178"/>
      <c r="E1125" s="178"/>
      <c r="F1125" s="178"/>
      <c r="G1125" s="178"/>
      <c r="H1125" s="178">
        <v>250</v>
      </c>
      <c r="I1125" s="7" t="s">
        <v>196</v>
      </c>
    </row>
    <row r="1126" spans="1:9" ht="15.75" x14ac:dyDescent="0.25">
      <c r="A1126" s="6"/>
      <c r="B1126" s="245"/>
      <c r="C1126" s="247"/>
      <c r="D1126" s="178"/>
      <c r="E1126" s="178"/>
      <c r="F1126" s="178"/>
      <c r="G1126" s="178"/>
      <c r="H1126" s="178">
        <v>250</v>
      </c>
      <c r="I1126" s="184" t="s">
        <v>195</v>
      </c>
    </row>
    <row r="1127" spans="1:9" ht="15.75" x14ac:dyDescent="0.25">
      <c r="A1127" s="8"/>
      <c r="B1127" s="250"/>
      <c r="C1127" s="247"/>
      <c r="D1127" s="178"/>
      <c r="E1127" s="178"/>
      <c r="F1127" s="178"/>
      <c r="G1127" s="178"/>
      <c r="H1127" s="178">
        <v>390</v>
      </c>
      <c r="I1127" s="184" t="s">
        <v>198</v>
      </c>
    </row>
    <row r="1128" spans="1:9" ht="15.75" x14ac:dyDescent="0.25">
      <c r="A1128" s="6"/>
      <c r="B1128" s="245"/>
      <c r="C1128" s="247"/>
      <c r="D1128" s="178"/>
      <c r="E1128" s="178"/>
      <c r="F1128" s="178"/>
      <c r="G1128" s="178"/>
      <c r="H1128" s="178">
        <f>2.5*4</f>
        <v>10</v>
      </c>
      <c r="I1128" s="7" t="s">
        <v>201</v>
      </c>
    </row>
    <row r="1129" spans="1:9" ht="15.75" x14ac:dyDescent="0.25">
      <c r="A1129" s="6"/>
      <c r="B1129" s="245"/>
      <c r="C1129" s="247"/>
      <c r="D1129" s="178"/>
      <c r="E1129" s="178"/>
      <c r="F1129" s="178"/>
      <c r="G1129" s="178"/>
      <c r="H1129" s="178">
        <f>60+10+12+90</f>
        <v>172</v>
      </c>
      <c r="I1129" s="7" t="s">
        <v>200</v>
      </c>
    </row>
    <row r="1130" spans="1:9" ht="15.75" x14ac:dyDescent="0.25">
      <c r="A1130" s="6"/>
      <c r="B1130" s="245"/>
      <c r="C1130" s="247"/>
      <c r="D1130" s="178"/>
      <c r="E1130" s="178"/>
      <c r="F1130" s="178"/>
      <c r="G1130" s="178"/>
      <c r="H1130" s="178"/>
      <c r="I1130" s="7"/>
    </row>
    <row r="1131" spans="1:9" ht="15.75" x14ac:dyDescent="0.25">
      <c r="A1131" s="6"/>
      <c r="B1131" s="245"/>
      <c r="C1131" s="247"/>
      <c r="D1131" s="178"/>
      <c r="E1131" s="178"/>
      <c r="F1131" s="178"/>
      <c r="G1131" s="178"/>
      <c r="H1131" s="178"/>
      <c r="I1131" s="7"/>
    </row>
    <row r="1132" spans="1:9" ht="15.75" x14ac:dyDescent="0.25">
      <c r="A1132" s="6"/>
      <c r="B1132" s="245"/>
      <c r="C1132" s="247"/>
      <c r="D1132" s="178"/>
      <c r="E1132" s="178"/>
      <c r="F1132" s="178"/>
      <c r="G1132" s="178"/>
      <c r="H1132" s="178"/>
      <c r="I1132" s="9"/>
    </row>
    <row r="1133" spans="1:9" ht="15.75" x14ac:dyDescent="0.25">
      <c r="A1133" s="6"/>
      <c r="B1133" s="245"/>
      <c r="C1133" s="247"/>
      <c r="D1133" s="178"/>
      <c r="E1133" s="178"/>
      <c r="F1133" s="178"/>
      <c r="G1133" s="178"/>
      <c r="H1133" s="178"/>
      <c r="I1133" s="9"/>
    </row>
    <row r="1134" spans="1:9" ht="15.75" x14ac:dyDescent="0.25">
      <c r="A1134" s="6"/>
      <c r="B1134" s="245"/>
      <c r="C1134" s="247"/>
      <c r="D1134" s="178"/>
      <c r="E1134" s="178"/>
      <c r="F1134" s="178"/>
      <c r="G1134" s="178"/>
      <c r="H1134" s="178"/>
      <c r="I1134" s="9"/>
    </row>
    <row r="1135" spans="1:9" ht="15.75" x14ac:dyDescent="0.25">
      <c r="A1135" s="6"/>
      <c r="B1135" s="245"/>
      <c r="C1135" s="247"/>
      <c r="D1135" s="178"/>
      <c r="E1135" s="178"/>
      <c r="F1135" s="178"/>
      <c r="G1135" s="178"/>
      <c r="H1135" s="178"/>
      <c r="I1135" s="9"/>
    </row>
    <row r="1136" spans="1:9" ht="15.75" x14ac:dyDescent="0.25">
      <c r="A1136" s="6"/>
      <c r="B1136" s="245"/>
      <c r="C1136" s="247"/>
      <c r="D1136" s="178"/>
      <c r="E1136" s="178"/>
      <c r="F1136" s="178"/>
      <c r="G1136" s="178"/>
      <c r="H1136" s="178"/>
      <c r="I1136" s="9"/>
    </row>
    <row r="1137" spans="1:9" ht="15.75" x14ac:dyDescent="0.25">
      <c r="A1137" s="6"/>
      <c r="B1137" s="245"/>
      <c r="C1137" s="247"/>
      <c r="D1137" s="178"/>
      <c r="E1137" s="178"/>
      <c r="F1137" s="178"/>
      <c r="G1137" s="178"/>
      <c r="H1137" s="178"/>
      <c r="I1137" s="9"/>
    </row>
    <row r="1138" spans="1:9" ht="15.75" x14ac:dyDescent="0.25">
      <c r="A1138" s="6"/>
      <c r="B1138" s="245"/>
      <c r="C1138" s="247"/>
      <c r="D1138" s="178"/>
      <c r="E1138" s="178"/>
      <c r="F1138" s="178"/>
      <c r="G1138" s="178"/>
      <c r="H1138" s="178"/>
      <c r="I1138" s="9"/>
    </row>
    <row r="1139" spans="1:9" ht="15.75" x14ac:dyDescent="0.25">
      <c r="A1139" s="6"/>
      <c r="B1139" s="245"/>
      <c r="C1139" s="247"/>
      <c r="D1139" s="178"/>
      <c r="E1139" s="178"/>
      <c r="F1139" s="178"/>
      <c r="G1139" s="178"/>
      <c r="H1139" s="178"/>
      <c r="I1139" s="9"/>
    </row>
    <row r="1140" spans="1:9" ht="15.75" x14ac:dyDescent="0.25">
      <c r="A1140" s="6"/>
      <c r="B1140" s="245"/>
      <c r="C1140" s="247"/>
      <c r="D1140" s="178"/>
      <c r="E1140" s="178"/>
      <c r="F1140" s="178"/>
      <c r="G1140" s="178"/>
      <c r="H1140" s="178"/>
      <c r="I1140" s="9"/>
    </row>
    <row r="1141" spans="1:9" ht="18.75" x14ac:dyDescent="0.3">
      <c r="A1141" s="6"/>
      <c r="B1141" s="245"/>
      <c r="C1141" s="247"/>
      <c r="D1141" s="5"/>
      <c r="E1141" s="5"/>
      <c r="F1141" s="5"/>
      <c r="G1141" s="10"/>
      <c r="H1141" s="5"/>
      <c r="I1141" s="11"/>
    </row>
    <row r="1142" spans="1:9" ht="18.75" x14ac:dyDescent="0.3">
      <c r="A1142" s="12"/>
      <c r="B1142" s="245"/>
      <c r="C1142" s="247"/>
      <c r="D1142" s="13"/>
      <c r="E1142" s="13"/>
      <c r="F1142" s="13"/>
      <c r="G1142" s="14"/>
      <c r="H1142" s="13"/>
      <c r="I1142" s="15"/>
    </row>
    <row r="1143" spans="1:9" ht="18.75" x14ac:dyDescent="0.3">
      <c r="A1143" s="12"/>
      <c r="B1143" s="245"/>
      <c r="C1143" s="247"/>
      <c r="D1143" s="13"/>
      <c r="E1143" s="13"/>
      <c r="F1143" s="13"/>
      <c r="G1143" s="14"/>
      <c r="H1143" s="13"/>
      <c r="I1143" s="15"/>
    </row>
    <row r="1144" spans="1:9" ht="19.5" thickBot="1" x14ac:dyDescent="0.35">
      <c r="A1144" s="12"/>
      <c r="B1144" s="248"/>
      <c r="C1144" s="249"/>
      <c r="D1144" s="16"/>
      <c r="E1144" s="16"/>
      <c r="F1144" s="16"/>
      <c r="G1144" s="14"/>
      <c r="H1144" s="16"/>
      <c r="I1144" s="15"/>
    </row>
    <row r="1145" spans="1:9" ht="16.5" thickBot="1" x14ac:dyDescent="0.3">
      <c r="A1145" s="17">
        <f>SUM(A1122:A1144)</f>
        <v>400</v>
      </c>
      <c r="B1145" s="241"/>
      <c r="C1145" s="242"/>
      <c r="D1145" s="18">
        <f>SUM(D1122:D1144)</f>
        <v>0</v>
      </c>
      <c r="E1145" s="19">
        <f>SUM(E1122:E1144)</f>
        <v>0</v>
      </c>
      <c r="F1145" s="20">
        <f>SUM(F1122:F1144)</f>
        <v>0</v>
      </c>
      <c r="G1145" s="21">
        <f>SUM(G1122:G1144)</f>
        <v>0</v>
      </c>
      <c r="H1145" s="22">
        <f>SUM(H1122:H1144)</f>
        <v>2647</v>
      </c>
      <c r="I1145" s="174"/>
    </row>
    <row r="1146" spans="1:9" ht="16.5" thickBot="1" x14ac:dyDescent="0.3">
      <c r="A1146" s="17"/>
      <c r="B1146" s="243">
        <f>H1145-A1145</f>
        <v>2247</v>
      </c>
      <c r="C1146" s="244"/>
      <c r="D1146" s="175" t="s">
        <v>11</v>
      </c>
      <c r="E1146" s="245">
        <f>H1145+G1145+F1145+E1145+D1145</f>
        <v>2647</v>
      </c>
      <c r="F1146" s="246"/>
      <c r="G1146" s="246"/>
      <c r="H1146" s="247"/>
      <c r="I1146" s="174" t="s">
        <v>12</v>
      </c>
    </row>
    <row r="1169" spans="1:9" ht="15.75" thickBot="1" x14ac:dyDescent="0.3"/>
    <row r="1170" spans="1:9" ht="23.25" thickBot="1" x14ac:dyDescent="0.35">
      <c r="A1170" s="251" t="s">
        <v>202</v>
      </c>
      <c r="B1170" s="252"/>
      <c r="C1170" s="252"/>
      <c r="D1170" s="252"/>
      <c r="E1170" s="252"/>
      <c r="F1170" s="252"/>
      <c r="G1170" s="252"/>
      <c r="H1170" s="252"/>
      <c r="I1170" s="253"/>
    </row>
    <row r="1171" spans="1:9" ht="19.5" thickBot="1" x14ac:dyDescent="0.35">
      <c r="A1171" s="254" t="s">
        <v>1</v>
      </c>
      <c r="B1171" s="255"/>
      <c r="C1171" s="255"/>
      <c r="D1171" s="254" t="s">
        <v>2</v>
      </c>
      <c r="E1171" s="255"/>
      <c r="F1171" s="255"/>
      <c r="G1171" s="255"/>
      <c r="H1171" s="255"/>
      <c r="I1171" s="256"/>
    </row>
    <row r="1172" spans="1:9" ht="19.5" thickBot="1" x14ac:dyDescent="0.35">
      <c r="A1172" s="1" t="s">
        <v>3</v>
      </c>
      <c r="B1172" s="257" t="s">
        <v>4</v>
      </c>
      <c r="C1172" s="258"/>
      <c r="D1172" s="2" t="s">
        <v>5</v>
      </c>
      <c r="E1172" s="2" t="s">
        <v>6</v>
      </c>
      <c r="F1172" s="2" t="s">
        <v>7</v>
      </c>
      <c r="G1172" s="2" t="s">
        <v>8</v>
      </c>
      <c r="H1172" s="2" t="s">
        <v>9</v>
      </c>
      <c r="I1172" s="182" t="s">
        <v>10</v>
      </c>
    </row>
    <row r="1173" spans="1:9" ht="16.5" thickBot="1" x14ac:dyDescent="0.3">
      <c r="A1173" s="183">
        <v>20</v>
      </c>
      <c r="B1173" s="259" t="s">
        <v>41</v>
      </c>
      <c r="C1173" s="259"/>
      <c r="D1173" s="183"/>
      <c r="E1173" s="183"/>
      <c r="F1173" s="179"/>
      <c r="G1173" s="183"/>
      <c r="H1173" s="179">
        <v>350</v>
      </c>
      <c r="I1173" s="185" t="s">
        <v>203</v>
      </c>
    </row>
    <row r="1174" spans="1:9" ht="15.75" x14ac:dyDescent="0.25">
      <c r="A1174" s="6"/>
      <c r="B1174" s="260"/>
      <c r="C1174" s="261"/>
      <c r="D1174" s="183"/>
      <c r="E1174" s="183"/>
      <c r="F1174" s="183"/>
      <c r="G1174" s="183"/>
      <c r="H1174" s="183">
        <v>270</v>
      </c>
      <c r="I1174" s="184" t="s">
        <v>204</v>
      </c>
    </row>
    <row r="1175" spans="1:9" ht="15.75" x14ac:dyDescent="0.25">
      <c r="A1175" s="6"/>
      <c r="B1175" s="245"/>
      <c r="C1175" s="247"/>
      <c r="D1175" s="183"/>
      <c r="E1175" s="183"/>
      <c r="F1175" s="183"/>
      <c r="G1175" s="183"/>
      <c r="H1175" s="183">
        <v>200</v>
      </c>
      <c r="I1175" s="184" t="s">
        <v>205</v>
      </c>
    </row>
    <row r="1176" spans="1:9" ht="15.75" x14ac:dyDescent="0.25">
      <c r="A1176" s="6"/>
      <c r="B1176" s="245"/>
      <c r="C1176" s="247"/>
      <c r="D1176" s="183"/>
      <c r="E1176" s="183">
        <v>350</v>
      </c>
      <c r="F1176" s="183"/>
      <c r="G1176" s="183"/>
      <c r="H1176" s="183"/>
      <c r="I1176" s="7" t="s">
        <v>206</v>
      </c>
    </row>
    <row r="1177" spans="1:9" ht="15.75" x14ac:dyDescent="0.25">
      <c r="A1177" s="6"/>
      <c r="B1177" s="245"/>
      <c r="C1177" s="247"/>
      <c r="D1177" s="183"/>
      <c r="E1177" s="183">
        <v>350</v>
      </c>
      <c r="F1177" s="183"/>
      <c r="G1177" s="183"/>
      <c r="H1177" s="183">
        <v>40</v>
      </c>
      <c r="I1177" s="184" t="s">
        <v>207</v>
      </c>
    </row>
    <row r="1178" spans="1:9" ht="15.75" x14ac:dyDescent="0.25">
      <c r="A1178" s="8"/>
      <c r="B1178" s="250"/>
      <c r="C1178" s="247"/>
      <c r="D1178" s="183">
        <f>420-220</f>
        <v>200</v>
      </c>
      <c r="E1178" s="183"/>
      <c r="F1178" s="183"/>
      <c r="G1178" s="183"/>
      <c r="H1178" s="183">
        <f>180</f>
        <v>180</v>
      </c>
      <c r="I1178" s="184" t="s">
        <v>208</v>
      </c>
    </row>
    <row r="1179" spans="1:9" ht="15.75" x14ac:dyDescent="0.25">
      <c r="A1179" s="6"/>
      <c r="B1179" s="245"/>
      <c r="C1179" s="247"/>
      <c r="D1179" s="183">
        <v>4</v>
      </c>
      <c r="E1179" s="183"/>
      <c r="F1179" s="183">
        <v>20</v>
      </c>
      <c r="G1179" s="183"/>
      <c r="H1179" s="183"/>
      <c r="I1179" s="7" t="s">
        <v>214</v>
      </c>
    </row>
    <row r="1180" spans="1:9" ht="15.75" x14ac:dyDescent="0.25">
      <c r="A1180" s="6"/>
      <c r="B1180" s="245"/>
      <c r="C1180" s="247"/>
      <c r="D1180" s="183"/>
      <c r="E1180" s="183"/>
      <c r="F1180" s="183"/>
      <c r="G1180" s="183"/>
      <c r="H1180" s="183">
        <v>450</v>
      </c>
      <c r="I1180" s="7" t="s">
        <v>227</v>
      </c>
    </row>
    <row r="1181" spans="1:9" ht="15.75" x14ac:dyDescent="0.25">
      <c r="A1181" s="6"/>
      <c r="B1181" s="245"/>
      <c r="C1181" s="247"/>
      <c r="D1181" s="183"/>
      <c r="E1181" s="183"/>
      <c r="F1181" s="183"/>
      <c r="G1181" s="183"/>
      <c r="H1181" s="183"/>
      <c r="I1181" s="7"/>
    </row>
    <row r="1182" spans="1:9" ht="15.75" x14ac:dyDescent="0.25">
      <c r="A1182" s="6"/>
      <c r="B1182" s="245"/>
      <c r="C1182" s="247"/>
      <c r="D1182" s="183"/>
      <c r="E1182" s="183"/>
      <c r="F1182" s="183"/>
      <c r="G1182" s="183"/>
      <c r="H1182" s="183"/>
      <c r="I1182" s="7"/>
    </row>
    <row r="1183" spans="1:9" ht="15.75" x14ac:dyDescent="0.25">
      <c r="A1183" s="6"/>
      <c r="B1183" s="245"/>
      <c r="C1183" s="247"/>
      <c r="D1183" s="183"/>
      <c r="E1183" s="183"/>
      <c r="F1183" s="183"/>
      <c r="G1183" s="183"/>
      <c r="H1183" s="183"/>
      <c r="I1183" s="9"/>
    </row>
    <row r="1184" spans="1:9" ht="15.75" x14ac:dyDescent="0.25">
      <c r="A1184" s="6"/>
      <c r="B1184" s="245"/>
      <c r="C1184" s="247"/>
      <c r="D1184" s="183"/>
      <c r="E1184" s="183"/>
      <c r="F1184" s="183"/>
      <c r="G1184" s="183"/>
      <c r="H1184" s="183"/>
      <c r="I1184" s="9"/>
    </row>
    <row r="1185" spans="1:9" ht="15.75" x14ac:dyDescent="0.25">
      <c r="A1185" s="6"/>
      <c r="B1185" s="245"/>
      <c r="C1185" s="247"/>
      <c r="D1185" s="183"/>
      <c r="E1185" s="183"/>
      <c r="F1185" s="183"/>
      <c r="G1185" s="183"/>
      <c r="H1185" s="183"/>
      <c r="I1185" s="9"/>
    </row>
    <row r="1186" spans="1:9" ht="15.75" x14ac:dyDescent="0.25">
      <c r="A1186" s="6"/>
      <c r="B1186" s="245"/>
      <c r="C1186" s="247"/>
      <c r="D1186" s="183"/>
      <c r="E1186" s="183"/>
      <c r="F1186" s="183"/>
      <c r="G1186" s="183"/>
      <c r="H1186" s="183"/>
      <c r="I1186" s="9"/>
    </row>
    <row r="1187" spans="1:9" ht="15.75" x14ac:dyDescent="0.25">
      <c r="A1187" s="6"/>
      <c r="B1187" s="245"/>
      <c r="C1187" s="247"/>
      <c r="D1187" s="183"/>
      <c r="E1187" s="183"/>
      <c r="F1187" s="183"/>
      <c r="G1187" s="183"/>
      <c r="H1187" s="183"/>
      <c r="I1187" s="9"/>
    </row>
    <row r="1188" spans="1:9" ht="15.75" x14ac:dyDescent="0.25">
      <c r="A1188" s="6"/>
      <c r="B1188" s="245"/>
      <c r="C1188" s="247"/>
      <c r="D1188" s="183"/>
      <c r="E1188" s="183"/>
      <c r="F1188" s="183"/>
      <c r="G1188" s="183"/>
      <c r="H1188" s="183"/>
      <c r="I1188" s="9"/>
    </row>
    <row r="1189" spans="1:9" ht="15.75" x14ac:dyDescent="0.25">
      <c r="A1189" s="6"/>
      <c r="B1189" s="245"/>
      <c r="C1189" s="247"/>
      <c r="D1189" s="183"/>
      <c r="E1189" s="183"/>
      <c r="F1189" s="183"/>
      <c r="G1189" s="183"/>
      <c r="H1189" s="183"/>
      <c r="I1189" s="9"/>
    </row>
    <row r="1190" spans="1:9" ht="15.75" x14ac:dyDescent="0.25">
      <c r="A1190" s="6"/>
      <c r="B1190" s="245"/>
      <c r="C1190" s="247"/>
      <c r="D1190" s="183"/>
      <c r="E1190" s="183"/>
      <c r="F1190" s="183"/>
      <c r="G1190" s="183"/>
      <c r="H1190" s="183"/>
      <c r="I1190" s="9"/>
    </row>
    <row r="1191" spans="1:9" ht="15.75" x14ac:dyDescent="0.25">
      <c r="A1191" s="6"/>
      <c r="B1191" s="245"/>
      <c r="C1191" s="247"/>
      <c r="D1191" s="183"/>
      <c r="E1191" s="183"/>
      <c r="F1191" s="183"/>
      <c r="G1191" s="183"/>
      <c r="H1191" s="183"/>
      <c r="I1191" s="9"/>
    </row>
    <row r="1192" spans="1:9" ht="18.75" x14ac:dyDescent="0.3">
      <c r="A1192" s="6"/>
      <c r="B1192" s="245"/>
      <c r="C1192" s="247"/>
      <c r="D1192" s="5"/>
      <c r="E1192" s="5"/>
      <c r="F1192" s="5"/>
      <c r="G1192" s="10"/>
      <c r="H1192" s="5"/>
      <c r="I1192" s="11"/>
    </row>
    <row r="1193" spans="1:9" ht="18.75" x14ac:dyDescent="0.3">
      <c r="A1193" s="12"/>
      <c r="B1193" s="245"/>
      <c r="C1193" s="247"/>
      <c r="D1193" s="13"/>
      <c r="E1193" s="13"/>
      <c r="F1193" s="13"/>
      <c r="G1193" s="14"/>
      <c r="H1193" s="13"/>
      <c r="I1193" s="15"/>
    </row>
    <row r="1194" spans="1:9" ht="18.75" x14ac:dyDescent="0.3">
      <c r="A1194" s="12"/>
      <c r="B1194" s="245"/>
      <c r="C1194" s="247"/>
      <c r="D1194" s="13"/>
      <c r="E1194" s="13"/>
      <c r="F1194" s="13"/>
      <c r="G1194" s="14"/>
      <c r="H1194" s="13"/>
      <c r="I1194" s="15"/>
    </row>
    <row r="1195" spans="1:9" ht="19.5" thickBot="1" x14ac:dyDescent="0.35">
      <c r="A1195" s="12"/>
      <c r="B1195" s="248"/>
      <c r="C1195" s="249"/>
      <c r="D1195" s="16"/>
      <c r="E1195" s="16"/>
      <c r="F1195" s="16"/>
      <c r="G1195" s="14"/>
      <c r="H1195" s="16"/>
      <c r="I1195" s="15"/>
    </row>
    <row r="1196" spans="1:9" ht="16.5" thickBot="1" x14ac:dyDescent="0.3">
      <c r="A1196" s="17">
        <f>SUM(A1173:A1195)</f>
        <v>20</v>
      </c>
      <c r="B1196" s="241"/>
      <c r="C1196" s="242"/>
      <c r="D1196" s="18">
        <f>SUM(D1173:D1195)</f>
        <v>204</v>
      </c>
      <c r="E1196" s="19">
        <f>SUM(E1173:E1195)</f>
        <v>700</v>
      </c>
      <c r="F1196" s="20">
        <f>SUM(F1173:F1195)</f>
        <v>20</v>
      </c>
      <c r="G1196" s="21">
        <f>SUM(G1173:G1195)</f>
        <v>0</v>
      </c>
      <c r="H1196" s="22">
        <f>SUM(H1173:H1195)</f>
        <v>1490</v>
      </c>
      <c r="I1196" s="180"/>
    </row>
    <row r="1197" spans="1:9" ht="16.5" thickBot="1" x14ac:dyDescent="0.3">
      <c r="A1197" s="17"/>
      <c r="B1197" s="243">
        <f>H1196-A1196</f>
        <v>1470</v>
      </c>
      <c r="C1197" s="244"/>
      <c r="D1197" s="181" t="s">
        <v>11</v>
      </c>
      <c r="E1197" s="245">
        <f>H1196+G1196+F1196+E1196+D1196</f>
        <v>2414</v>
      </c>
      <c r="F1197" s="246"/>
      <c r="G1197" s="246"/>
      <c r="H1197" s="247"/>
      <c r="I1197" s="180" t="s">
        <v>12</v>
      </c>
    </row>
    <row r="1220" spans="1:9" ht="15.75" thickBot="1" x14ac:dyDescent="0.3"/>
    <row r="1221" spans="1:9" ht="23.25" thickBot="1" x14ac:dyDescent="0.35">
      <c r="A1221" s="251" t="s">
        <v>219</v>
      </c>
      <c r="B1221" s="252"/>
      <c r="C1221" s="252"/>
      <c r="D1221" s="252"/>
      <c r="E1221" s="252"/>
      <c r="F1221" s="252"/>
      <c r="G1221" s="252"/>
      <c r="H1221" s="252"/>
      <c r="I1221" s="253"/>
    </row>
    <row r="1222" spans="1:9" ht="19.5" thickBot="1" x14ac:dyDescent="0.35">
      <c r="A1222" s="254" t="s">
        <v>1</v>
      </c>
      <c r="B1222" s="255"/>
      <c r="C1222" s="255"/>
      <c r="D1222" s="254" t="s">
        <v>2</v>
      </c>
      <c r="E1222" s="255"/>
      <c r="F1222" s="255"/>
      <c r="G1222" s="255"/>
      <c r="H1222" s="255"/>
      <c r="I1222" s="256"/>
    </row>
    <row r="1223" spans="1:9" ht="19.5" thickBot="1" x14ac:dyDescent="0.35">
      <c r="A1223" s="1" t="s">
        <v>3</v>
      </c>
      <c r="B1223" s="257" t="s">
        <v>4</v>
      </c>
      <c r="C1223" s="258"/>
      <c r="D1223" s="2" t="s">
        <v>5</v>
      </c>
      <c r="E1223" s="2" t="s">
        <v>6</v>
      </c>
      <c r="F1223" s="2" t="s">
        <v>7</v>
      </c>
      <c r="G1223" s="2" t="s">
        <v>8</v>
      </c>
      <c r="H1223" s="2" t="s">
        <v>9</v>
      </c>
      <c r="I1223" s="192" t="s">
        <v>10</v>
      </c>
    </row>
    <row r="1224" spans="1:9" ht="16.5" thickBot="1" x14ac:dyDescent="0.3">
      <c r="A1224" s="193"/>
      <c r="B1224" s="259"/>
      <c r="C1224" s="259"/>
      <c r="D1224" s="193"/>
      <c r="E1224" s="193"/>
      <c r="F1224" s="191"/>
      <c r="G1224" s="193"/>
      <c r="H1224" s="191"/>
      <c r="I1224" s="185"/>
    </row>
    <row r="1225" spans="1:9" ht="15.75" x14ac:dyDescent="0.25">
      <c r="A1225" s="6"/>
      <c r="B1225" s="260"/>
      <c r="C1225" s="261"/>
      <c r="D1225" s="193"/>
      <c r="E1225" s="193"/>
      <c r="F1225" s="193"/>
      <c r="G1225" s="193"/>
      <c r="H1225" s="193"/>
      <c r="I1225" s="184"/>
    </row>
    <row r="1226" spans="1:9" ht="15.75" x14ac:dyDescent="0.25">
      <c r="A1226" s="6"/>
      <c r="B1226" s="245"/>
      <c r="C1226" s="247"/>
      <c r="D1226" s="193"/>
      <c r="E1226" s="193"/>
      <c r="F1226" s="193"/>
      <c r="G1226" s="193"/>
      <c r="H1226" s="193"/>
      <c r="I1226" s="184"/>
    </row>
    <row r="1227" spans="1:9" ht="15.75" x14ac:dyDescent="0.25">
      <c r="A1227" s="6"/>
      <c r="B1227" s="245"/>
      <c r="C1227" s="247"/>
      <c r="D1227" s="193"/>
      <c r="E1227" s="193"/>
      <c r="F1227" s="193"/>
      <c r="G1227" s="193"/>
      <c r="H1227" s="193"/>
      <c r="I1227" s="7"/>
    </row>
    <row r="1228" spans="1:9" ht="15.75" x14ac:dyDescent="0.25">
      <c r="A1228" s="6"/>
      <c r="B1228" s="245"/>
      <c r="C1228" s="247"/>
      <c r="D1228" s="193"/>
      <c r="E1228" s="193"/>
      <c r="F1228" s="193"/>
      <c r="G1228" s="193"/>
      <c r="H1228" s="193"/>
      <c r="I1228" s="184"/>
    </row>
    <row r="1229" spans="1:9" ht="15.75" x14ac:dyDescent="0.25">
      <c r="A1229" s="8"/>
      <c r="B1229" s="250"/>
      <c r="C1229" s="247"/>
      <c r="D1229" s="193"/>
      <c r="E1229" s="193"/>
      <c r="F1229" s="193"/>
      <c r="G1229" s="193"/>
      <c r="H1229" s="193"/>
      <c r="I1229" s="184"/>
    </row>
    <row r="1230" spans="1:9" ht="15.75" x14ac:dyDescent="0.25">
      <c r="A1230" s="6"/>
      <c r="B1230" s="245"/>
      <c r="C1230" s="247"/>
      <c r="D1230" s="193"/>
      <c r="E1230" s="193"/>
      <c r="F1230" s="193"/>
      <c r="G1230" s="193"/>
      <c r="H1230" s="193"/>
      <c r="I1230" s="7"/>
    </row>
    <row r="1231" spans="1:9" ht="15.75" x14ac:dyDescent="0.25">
      <c r="A1231" s="6"/>
      <c r="B1231" s="245"/>
      <c r="C1231" s="247"/>
      <c r="D1231" s="193"/>
      <c r="E1231" s="193"/>
      <c r="F1231" s="193"/>
      <c r="G1231" s="193"/>
      <c r="H1231" s="193"/>
      <c r="I1231" s="7"/>
    </row>
    <row r="1232" spans="1:9" ht="15.75" x14ac:dyDescent="0.25">
      <c r="A1232" s="6"/>
      <c r="B1232" s="245"/>
      <c r="C1232" s="247"/>
      <c r="D1232" s="193"/>
      <c r="E1232" s="193"/>
      <c r="F1232" s="193"/>
      <c r="G1232" s="193"/>
      <c r="H1232" s="193"/>
      <c r="I1232" s="7"/>
    </row>
    <row r="1233" spans="1:9" ht="15.75" x14ac:dyDescent="0.25">
      <c r="A1233" s="6"/>
      <c r="B1233" s="245"/>
      <c r="C1233" s="247"/>
      <c r="D1233" s="193"/>
      <c r="E1233" s="193"/>
      <c r="F1233" s="193"/>
      <c r="G1233" s="193"/>
      <c r="H1233" s="193"/>
      <c r="I1233" s="7"/>
    </row>
    <row r="1234" spans="1:9" ht="15.75" x14ac:dyDescent="0.25">
      <c r="A1234" s="6"/>
      <c r="B1234" s="245"/>
      <c r="C1234" s="247"/>
      <c r="D1234" s="193"/>
      <c r="E1234" s="193"/>
      <c r="F1234" s="193"/>
      <c r="G1234" s="193"/>
      <c r="H1234" s="193"/>
      <c r="I1234" s="9"/>
    </row>
    <row r="1235" spans="1:9" ht="15.75" x14ac:dyDescent="0.25">
      <c r="A1235" s="6"/>
      <c r="B1235" s="245"/>
      <c r="C1235" s="247"/>
      <c r="D1235" s="193"/>
      <c r="E1235" s="193"/>
      <c r="F1235" s="193"/>
      <c r="G1235" s="193"/>
      <c r="H1235" s="193"/>
      <c r="I1235" s="9"/>
    </row>
    <row r="1236" spans="1:9" ht="15.75" x14ac:dyDescent="0.25">
      <c r="A1236" s="6"/>
      <c r="B1236" s="245"/>
      <c r="C1236" s="247"/>
      <c r="D1236" s="193"/>
      <c r="E1236" s="193"/>
      <c r="F1236" s="193"/>
      <c r="G1236" s="193"/>
      <c r="H1236" s="193"/>
      <c r="I1236" s="9"/>
    </row>
    <row r="1237" spans="1:9" ht="15.75" x14ac:dyDescent="0.25">
      <c r="A1237" s="6"/>
      <c r="B1237" s="245"/>
      <c r="C1237" s="247"/>
      <c r="D1237" s="193"/>
      <c r="E1237" s="193"/>
      <c r="F1237" s="193"/>
      <c r="G1237" s="193"/>
      <c r="H1237" s="193"/>
      <c r="I1237" s="9"/>
    </row>
    <row r="1238" spans="1:9" ht="15.75" x14ac:dyDescent="0.25">
      <c r="A1238" s="6"/>
      <c r="B1238" s="245"/>
      <c r="C1238" s="247"/>
      <c r="D1238" s="193"/>
      <c r="E1238" s="193"/>
      <c r="F1238" s="193"/>
      <c r="G1238" s="193"/>
      <c r="H1238" s="193"/>
      <c r="I1238" s="9"/>
    </row>
    <row r="1239" spans="1:9" ht="15.75" x14ac:dyDescent="0.25">
      <c r="A1239" s="6"/>
      <c r="B1239" s="245"/>
      <c r="C1239" s="247"/>
      <c r="D1239" s="193"/>
      <c r="E1239" s="193"/>
      <c r="F1239" s="193"/>
      <c r="G1239" s="193"/>
      <c r="H1239" s="193"/>
      <c r="I1239" s="9"/>
    </row>
    <row r="1240" spans="1:9" ht="15.75" x14ac:dyDescent="0.25">
      <c r="A1240" s="6"/>
      <c r="B1240" s="245"/>
      <c r="C1240" s="247"/>
      <c r="D1240" s="193"/>
      <c r="E1240" s="193"/>
      <c r="F1240" s="193"/>
      <c r="G1240" s="193"/>
      <c r="H1240" s="193"/>
      <c r="I1240" s="9"/>
    </row>
    <row r="1241" spans="1:9" ht="15.75" x14ac:dyDescent="0.25">
      <c r="A1241" s="6"/>
      <c r="B1241" s="245"/>
      <c r="C1241" s="247"/>
      <c r="D1241" s="193"/>
      <c r="E1241" s="193"/>
      <c r="F1241" s="193"/>
      <c r="G1241" s="193"/>
      <c r="H1241" s="193"/>
      <c r="I1241" s="9"/>
    </row>
    <row r="1242" spans="1:9" ht="15.75" x14ac:dyDescent="0.25">
      <c r="A1242" s="6"/>
      <c r="B1242" s="245"/>
      <c r="C1242" s="247"/>
      <c r="D1242" s="193"/>
      <c r="E1242" s="193"/>
      <c r="F1242" s="193"/>
      <c r="G1242" s="193"/>
      <c r="H1242" s="193"/>
      <c r="I1242" s="9"/>
    </row>
    <row r="1243" spans="1:9" ht="18.75" x14ac:dyDescent="0.3">
      <c r="A1243" s="6"/>
      <c r="B1243" s="245"/>
      <c r="C1243" s="247"/>
      <c r="D1243" s="5"/>
      <c r="E1243" s="5"/>
      <c r="F1243" s="5"/>
      <c r="G1243" s="10"/>
      <c r="H1243" s="5"/>
      <c r="I1243" s="11"/>
    </row>
    <row r="1244" spans="1:9" ht="18.75" x14ac:dyDescent="0.3">
      <c r="A1244" s="12"/>
      <c r="B1244" s="245"/>
      <c r="C1244" s="247"/>
      <c r="D1244" s="13"/>
      <c r="E1244" s="13"/>
      <c r="F1244" s="13"/>
      <c r="G1244" s="14"/>
      <c r="H1244" s="13"/>
      <c r="I1244" s="15"/>
    </row>
    <row r="1245" spans="1:9" ht="18.75" x14ac:dyDescent="0.3">
      <c r="A1245" s="12"/>
      <c r="B1245" s="245"/>
      <c r="C1245" s="247"/>
      <c r="D1245" s="13"/>
      <c r="E1245" s="13"/>
      <c r="F1245" s="13"/>
      <c r="G1245" s="14"/>
      <c r="H1245" s="13"/>
      <c r="I1245" s="15"/>
    </row>
    <row r="1246" spans="1:9" ht="19.5" thickBot="1" x14ac:dyDescent="0.35">
      <c r="A1246" s="12"/>
      <c r="B1246" s="248"/>
      <c r="C1246" s="249"/>
      <c r="D1246" s="16"/>
      <c r="E1246" s="16"/>
      <c r="F1246" s="16"/>
      <c r="G1246" s="14"/>
      <c r="H1246" s="16"/>
      <c r="I1246" s="15"/>
    </row>
    <row r="1247" spans="1:9" ht="16.5" thickBot="1" x14ac:dyDescent="0.3">
      <c r="A1247" s="17">
        <f>SUM(A1224:A1246)</f>
        <v>0</v>
      </c>
      <c r="B1247" s="241"/>
      <c r="C1247" s="242"/>
      <c r="D1247" s="18">
        <f>SUM(D1224:D1246)</f>
        <v>0</v>
      </c>
      <c r="E1247" s="19">
        <f>SUM(E1224:E1246)</f>
        <v>0</v>
      </c>
      <c r="F1247" s="20">
        <f>SUM(F1224:F1246)</f>
        <v>0</v>
      </c>
      <c r="G1247" s="21">
        <f>SUM(G1224:G1246)</f>
        <v>0</v>
      </c>
      <c r="H1247" s="22">
        <f>SUM(H1224:H1246)</f>
        <v>0</v>
      </c>
      <c r="I1247" s="189"/>
    </row>
    <row r="1248" spans="1:9" ht="16.5" thickBot="1" x14ac:dyDescent="0.3">
      <c r="A1248" s="17"/>
      <c r="B1248" s="243">
        <f>H1247-A1247</f>
        <v>0</v>
      </c>
      <c r="C1248" s="244"/>
      <c r="D1248" s="190" t="s">
        <v>11</v>
      </c>
      <c r="E1248" s="245">
        <f>H1247+G1247+F1247+E1247+D1247</f>
        <v>0</v>
      </c>
      <c r="F1248" s="246"/>
      <c r="G1248" s="246"/>
      <c r="H1248" s="247"/>
      <c r="I1248" s="189" t="s">
        <v>12</v>
      </c>
    </row>
  </sheetData>
  <mergeCells count="810">
    <mergeCell ref="B1196:C1196"/>
    <mergeCell ref="B1197:C1197"/>
    <mergeCell ref="E1197:H1197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A1170:I1170"/>
    <mergeCell ref="A1171:C1171"/>
    <mergeCell ref="D1171:I1171"/>
    <mergeCell ref="B1172:C1172"/>
    <mergeCell ref="B1173:C1173"/>
    <mergeCell ref="B1174:C1174"/>
    <mergeCell ref="B1175:C1175"/>
    <mergeCell ref="B1176:C1176"/>
    <mergeCell ref="B1177:C1177"/>
    <mergeCell ref="B1012:C1012"/>
    <mergeCell ref="B1013:C1013"/>
    <mergeCell ref="E1013:H1013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A986:I986"/>
    <mergeCell ref="A987:C987"/>
    <mergeCell ref="D987:I987"/>
    <mergeCell ref="B988:C988"/>
    <mergeCell ref="B989:C989"/>
    <mergeCell ref="B990:C990"/>
    <mergeCell ref="B991:C991"/>
    <mergeCell ref="B992:C992"/>
    <mergeCell ref="B993:C993"/>
    <mergeCell ref="B965:C965"/>
    <mergeCell ref="B966:C966"/>
    <mergeCell ref="E966:H966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A939:I939"/>
    <mergeCell ref="A940:C940"/>
    <mergeCell ref="D940:I940"/>
    <mergeCell ref="B941:C941"/>
    <mergeCell ref="B942:C942"/>
    <mergeCell ref="B943:C943"/>
    <mergeCell ref="B944:C944"/>
    <mergeCell ref="B945:C945"/>
    <mergeCell ref="B946:C946"/>
    <mergeCell ref="B728:C728"/>
    <mergeCell ref="B729:C729"/>
    <mergeCell ref="B730:C730"/>
    <mergeCell ref="B731:C731"/>
    <mergeCell ref="B732:C732"/>
    <mergeCell ref="E732:H732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684:C684"/>
    <mergeCell ref="B685:C685"/>
    <mergeCell ref="E685:H685"/>
    <mergeCell ref="A705:I705"/>
    <mergeCell ref="A706:C706"/>
    <mergeCell ref="D706:I706"/>
    <mergeCell ref="B707:C707"/>
    <mergeCell ref="B708:C708"/>
    <mergeCell ref="B709:C709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A658:I658"/>
    <mergeCell ref="A659:C659"/>
    <mergeCell ref="D659:I659"/>
    <mergeCell ref="B660:C660"/>
    <mergeCell ref="B661:C661"/>
    <mergeCell ref="B662:C662"/>
    <mergeCell ref="B663:C663"/>
    <mergeCell ref="B664:C664"/>
    <mergeCell ref="B665:C665"/>
    <mergeCell ref="B590:C590"/>
    <mergeCell ref="B591:C591"/>
    <mergeCell ref="E591:H591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A564:I564"/>
    <mergeCell ref="A565:C565"/>
    <mergeCell ref="D565:I565"/>
    <mergeCell ref="B566:C566"/>
    <mergeCell ref="B567:C567"/>
    <mergeCell ref="B568:C568"/>
    <mergeCell ref="B569:C569"/>
    <mergeCell ref="B570:C570"/>
    <mergeCell ref="B571:C571"/>
    <mergeCell ref="B496:C496"/>
    <mergeCell ref="B497:C497"/>
    <mergeCell ref="E497:H497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A470:I470"/>
    <mergeCell ref="A471:C471"/>
    <mergeCell ref="D471:I471"/>
    <mergeCell ref="B472:C472"/>
    <mergeCell ref="B473:C473"/>
    <mergeCell ref="B474:C474"/>
    <mergeCell ref="B475:C475"/>
    <mergeCell ref="B476:C476"/>
    <mergeCell ref="B477:C477"/>
    <mergeCell ref="B356:C356"/>
    <mergeCell ref="B357:C357"/>
    <mergeCell ref="E357:H357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A330:I330"/>
    <mergeCell ref="A331:C331"/>
    <mergeCell ref="D331:I331"/>
    <mergeCell ref="B332:C332"/>
    <mergeCell ref="B333:C333"/>
    <mergeCell ref="B334:C334"/>
    <mergeCell ref="B335:C335"/>
    <mergeCell ref="B336:C336"/>
    <mergeCell ref="B337:C337"/>
    <mergeCell ref="B262:C262"/>
    <mergeCell ref="B263:C263"/>
    <mergeCell ref="E263:H263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A236:I236"/>
    <mergeCell ref="A237:C237"/>
    <mergeCell ref="D237:I237"/>
    <mergeCell ref="B238:C238"/>
    <mergeCell ref="B239:C239"/>
    <mergeCell ref="B240:C240"/>
    <mergeCell ref="B241:C241"/>
    <mergeCell ref="B242:C242"/>
    <mergeCell ref="B243:C243"/>
    <mergeCell ref="B166:C166"/>
    <mergeCell ref="B167:C167"/>
    <mergeCell ref="B168:C168"/>
    <mergeCell ref="B169:C169"/>
    <mergeCell ref="E169:H169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A142:I142"/>
    <mergeCell ref="A143:C143"/>
    <mergeCell ref="D143:I143"/>
    <mergeCell ref="B144:C144"/>
    <mergeCell ref="B145:C145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5:C5"/>
    <mergeCell ref="A1:I1"/>
    <mergeCell ref="A2:C2"/>
    <mergeCell ref="D2:I2"/>
    <mergeCell ref="B3:C3"/>
    <mergeCell ref="B4:C4"/>
    <mergeCell ref="A48:I48"/>
    <mergeCell ref="A49:C49"/>
    <mergeCell ref="D49:I49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E28:H28"/>
    <mergeCell ref="B18:C18"/>
    <mergeCell ref="B19:C1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E75:H75"/>
    <mergeCell ref="A95:I95"/>
    <mergeCell ref="A96:C96"/>
    <mergeCell ref="D96:I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21:C121"/>
    <mergeCell ref="B122:C122"/>
    <mergeCell ref="E122:H122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A189:I189"/>
    <mergeCell ref="A190:C190"/>
    <mergeCell ref="D190:I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15:C215"/>
    <mergeCell ref="B216:C216"/>
    <mergeCell ref="E216:H216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A283:I283"/>
    <mergeCell ref="A284:C284"/>
    <mergeCell ref="D284:I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9:C309"/>
    <mergeCell ref="B310:C310"/>
    <mergeCell ref="E310:H310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A377:I377"/>
    <mergeCell ref="A378:C378"/>
    <mergeCell ref="D378:I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403:C403"/>
    <mergeCell ref="B404:C404"/>
    <mergeCell ref="E404:H404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A424:I424"/>
    <mergeCell ref="A425:C425"/>
    <mergeCell ref="D425:I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50:C450"/>
    <mergeCell ref="B451:C451"/>
    <mergeCell ref="E451:H451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A517:I517"/>
    <mergeCell ref="A518:C518"/>
    <mergeCell ref="D518:I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43:C543"/>
    <mergeCell ref="B544:C544"/>
    <mergeCell ref="E544:H544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A611:I611"/>
    <mergeCell ref="A612:C612"/>
    <mergeCell ref="D612:I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37:C637"/>
    <mergeCell ref="B638:C638"/>
    <mergeCell ref="E638:H638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A752:I752"/>
    <mergeCell ref="A753:C753"/>
    <mergeCell ref="D753:I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78:C778"/>
    <mergeCell ref="B779:C779"/>
    <mergeCell ref="E779:H779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A799:I799"/>
    <mergeCell ref="A800:C800"/>
    <mergeCell ref="D800:I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25:C825"/>
    <mergeCell ref="B826:C826"/>
    <mergeCell ref="E826:H826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A845:I845"/>
    <mergeCell ref="A846:C846"/>
    <mergeCell ref="D846:I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71:C871"/>
    <mergeCell ref="B872:C872"/>
    <mergeCell ref="E872:H872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A892:I892"/>
    <mergeCell ref="A893:C893"/>
    <mergeCell ref="D893:I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18:C918"/>
    <mergeCell ref="B919:C919"/>
    <mergeCell ref="E919:H919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A1017:I1017"/>
    <mergeCell ref="A1018:C1018"/>
    <mergeCell ref="D1018:I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43:C1043"/>
    <mergeCell ref="B1044:C1044"/>
    <mergeCell ref="E1044:H1044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A1068:I1068"/>
    <mergeCell ref="A1069:C1069"/>
    <mergeCell ref="D1069:I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94:C1094"/>
    <mergeCell ref="B1095:C1095"/>
    <mergeCell ref="E1095:H1095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A1119:I1119"/>
    <mergeCell ref="A1120:C1120"/>
    <mergeCell ref="D1120:I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45:C1145"/>
    <mergeCell ref="B1146:C1146"/>
    <mergeCell ref="E1146:H1146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A1221:I1221"/>
    <mergeCell ref="A1222:C1222"/>
    <mergeCell ref="D1222:I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47:C1247"/>
    <mergeCell ref="B1248:C1248"/>
    <mergeCell ref="E1248:H1248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</mergeCells>
  <pageMargins left="0.67500000000000004" right="0.25" top="0.75" bottom="0.75" header="0.3" footer="0.3"/>
  <pageSetup paperSize="9" scale="92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9"/>
  <sheetViews>
    <sheetView tabSelected="1" topLeftCell="A538" workbookViewId="0">
      <selection activeCell="K553" sqref="K553"/>
    </sheetView>
  </sheetViews>
  <sheetFormatPr defaultRowHeight="15" x14ac:dyDescent="0.25"/>
  <cols>
    <col min="1" max="1" width="7.5703125" customWidth="1"/>
    <col min="3" max="3" width="5.140625" customWidth="1"/>
    <col min="4" max="4" width="6.7109375" customWidth="1"/>
    <col min="5" max="6" width="8" customWidth="1"/>
    <col min="7" max="7" width="7.5703125" customWidth="1"/>
    <col min="8" max="8" width="6.140625" customWidth="1"/>
    <col min="9" max="9" width="27.42578125" customWidth="1"/>
  </cols>
  <sheetData>
    <row r="1" spans="1:9" ht="15.75" thickBot="1" x14ac:dyDescent="0.3"/>
    <row r="2" spans="1:9" ht="23.25" thickBot="1" x14ac:dyDescent="0.35">
      <c r="A2" s="251" t="s">
        <v>217</v>
      </c>
      <c r="B2" s="252"/>
      <c r="C2" s="252"/>
      <c r="D2" s="252"/>
      <c r="E2" s="252"/>
      <c r="F2" s="252"/>
      <c r="G2" s="252"/>
      <c r="H2" s="252"/>
      <c r="I2" s="253"/>
    </row>
    <row r="3" spans="1:9" ht="19.5" thickBot="1" x14ac:dyDescent="0.35">
      <c r="A3" s="254" t="s">
        <v>1</v>
      </c>
      <c r="B3" s="255"/>
      <c r="C3" s="255"/>
      <c r="D3" s="254" t="s">
        <v>2</v>
      </c>
      <c r="E3" s="255"/>
      <c r="F3" s="255"/>
      <c r="G3" s="255"/>
      <c r="H3" s="255"/>
      <c r="I3" s="256"/>
    </row>
    <row r="4" spans="1:9" ht="19.5" thickBot="1" x14ac:dyDescent="0.35">
      <c r="A4" s="1" t="s">
        <v>3</v>
      </c>
      <c r="B4" s="257" t="s">
        <v>4</v>
      </c>
      <c r="C4" s="258"/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187" t="s">
        <v>10</v>
      </c>
    </row>
    <row r="5" spans="1:9" ht="16.5" thickBot="1" x14ac:dyDescent="0.3">
      <c r="A5" s="188">
        <v>20</v>
      </c>
      <c r="B5" s="259" t="s">
        <v>48</v>
      </c>
      <c r="C5" s="259"/>
      <c r="D5" s="188"/>
      <c r="E5" s="188"/>
      <c r="F5" s="186"/>
      <c r="G5" s="188"/>
      <c r="H5" s="186">
        <v>350</v>
      </c>
      <c r="I5" s="185" t="s">
        <v>203</v>
      </c>
    </row>
    <row r="6" spans="1:9" ht="15.75" x14ac:dyDescent="0.25">
      <c r="A6" s="6">
        <f>25*5+15</f>
        <v>140</v>
      </c>
      <c r="B6" s="260" t="s">
        <v>218</v>
      </c>
      <c r="C6" s="261"/>
      <c r="D6" s="188"/>
      <c r="E6" s="188"/>
      <c r="F6" s="188"/>
      <c r="G6" s="188"/>
      <c r="H6" s="188">
        <v>270</v>
      </c>
      <c r="I6" s="184" t="s">
        <v>204</v>
      </c>
    </row>
    <row r="7" spans="1:9" ht="15.75" x14ac:dyDescent="0.25">
      <c r="A7" s="6"/>
      <c r="B7" s="245"/>
      <c r="C7" s="247"/>
      <c r="D7" s="188"/>
      <c r="E7" s="188"/>
      <c r="F7" s="188"/>
      <c r="G7" s="188"/>
      <c r="H7" s="188">
        <v>200</v>
      </c>
      <c r="I7" s="184" t="s">
        <v>205</v>
      </c>
    </row>
    <row r="8" spans="1:9" ht="15.75" x14ac:dyDescent="0.25">
      <c r="A8" s="6"/>
      <c r="B8" s="245"/>
      <c r="C8" s="247"/>
      <c r="D8" s="188"/>
      <c r="E8" s="188">
        <v>350</v>
      </c>
      <c r="F8" s="188"/>
      <c r="G8" s="188"/>
      <c r="H8" s="188"/>
      <c r="I8" s="7" t="s">
        <v>206</v>
      </c>
    </row>
    <row r="9" spans="1:9" ht="15.75" x14ac:dyDescent="0.25">
      <c r="A9" s="6"/>
      <c r="B9" s="245"/>
      <c r="C9" s="247"/>
      <c r="D9" s="188"/>
      <c r="E9" s="188">
        <v>350</v>
      </c>
      <c r="F9" s="188"/>
      <c r="G9" s="188"/>
      <c r="H9" s="188">
        <v>40</v>
      </c>
      <c r="I9" s="184" t="s">
        <v>207</v>
      </c>
    </row>
    <row r="10" spans="1:9" ht="15.75" x14ac:dyDescent="0.25">
      <c r="A10" s="8"/>
      <c r="B10" s="250"/>
      <c r="C10" s="247"/>
      <c r="D10" s="188">
        <f>420-220</f>
        <v>200</v>
      </c>
      <c r="E10" s="188"/>
      <c r="F10" s="188"/>
      <c r="G10" s="188"/>
      <c r="H10" s="188">
        <f>180</f>
        <v>180</v>
      </c>
      <c r="I10" s="184" t="s">
        <v>208</v>
      </c>
    </row>
    <row r="11" spans="1:9" ht="15.75" x14ac:dyDescent="0.25">
      <c r="A11" s="6"/>
      <c r="B11" s="245"/>
      <c r="C11" s="247"/>
      <c r="D11" s="188">
        <v>4</v>
      </c>
      <c r="E11" s="188"/>
      <c r="F11" s="188">
        <v>20</v>
      </c>
      <c r="G11" s="188"/>
      <c r="H11" s="188"/>
      <c r="I11" s="7" t="s">
        <v>214</v>
      </c>
    </row>
    <row r="12" spans="1:9" ht="15.75" x14ac:dyDescent="0.25">
      <c r="A12" s="6"/>
      <c r="B12" s="245"/>
      <c r="C12" s="247"/>
      <c r="D12" s="188"/>
      <c r="E12" s="188"/>
      <c r="F12" s="188"/>
      <c r="G12" s="188"/>
      <c r="H12" s="188">
        <v>450</v>
      </c>
      <c r="I12" s="7" t="s">
        <v>215</v>
      </c>
    </row>
    <row r="13" spans="1:9" ht="15.75" x14ac:dyDescent="0.25">
      <c r="A13" s="6"/>
      <c r="B13" s="245"/>
      <c r="C13" s="247"/>
      <c r="D13" s="188"/>
      <c r="E13" s="188"/>
      <c r="F13" s="188"/>
      <c r="G13" s="188"/>
      <c r="H13" s="188"/>
      <c r="I13" s="7"/>
    </row>
    <row r="14" spans="1:9" ht="15.75" x14ac:dyDescent="0.25">
      <c r="A14" s="6"/>
      <c r="B14" s="245"/>
      <c r="C14" s="247"/>
      <c r="D14" s="188"/>
      <c r="E14" s="188"/>
      <c r="F14" s="188"/>
      <c r="G14" s="188"/>
      <c r="H14" s="188"/>
      <c r="I14" s="7"/>
    </row>
    <row r="15" spans="1:9" ht="15.75" x14ac:dyDescent="0.25">
      <c r="A15" s="6"/>
      <c r="B15" s="245"/>
      <c r="C15" s="247"/>
      <c r="D15" s="188"/>
      <c r="E15" s="188"/>
      <c r="F15" s="188"/>
      <c r="G15" s="188"/>
      <c r="H15" s="188"/>
      <c r="I15" s="9"/>
    </row>
    <row r="16" spans="1:9" ht="15.75" x14ac:dyDescent="0.25">
      <c r="A16" s="6"/>
      <c r="B16" s="245"/>
      <c r="C16" s="247"/>
      <c r="D16" s="188"/>
      <c r="E16" s="188"/>
      <c r="F16" s="188"/>
      <c r="G16" s="188"/>
      <c r="H16" s="188"/>
      <c r="I16" s="9"/>
    </row>
    <row r="17" spans="1:9" ht="15.75" x14ac:dyDescent="0.25">
      <c r="A17" s="6"/>
      <c r="B17" s="245"/>
      <c r="C17" s="247"/>
      <c r="D17" s="188"/>
      <c r="E17" s="188"/>
      <c r="F17" s="188"/>
      <c r="G17" s="188"/>
      <c r="H17" s="188"/>
      <c r="I17" s="9"/>
    </row>
    <row r="18" spans="1:9" ht="15.75" x14ac:dyDescent="0.25">
      <c r="A18" s="6"/>
      <c r="B18" s="245"/>
      <c r="C18" s="247"/>
      <c r="D18" s="188"/>
      <c r="E18" s="188"/>
      <c r="F18" s="188"/>
      <c r="G18" s="188"/>
      <c r="H18" s="188"/>
      <c r="I18" s="9"/>
    </row>
    <row r="19" spans="1:9" ht="15.75" x14ac:dyDescent="0.25">
      <c r="A19" s="6"/>
      <c r="B19" s="245"/>
      <c r="C19" s="247"/>
      <c r="D19" s="188"/>
      <c r="E19" s="188"/>
      <c r="F19" s="188"/>
      <c r="G19" s="188"/>
      <c r="H19" s="188"/>
      <c r="I19" s="9"/>
    </row>
    <row r="20" spans="1:9" ht="15.75" x14ac:dyDescent="0.25">
      <c r="A20" s="6"/>
      <c r="B20" s="245"/>
      <c r="C20" s="247"/>
      <c r="D20" s="188"/>
      <c r="E20" s="188"/>
      <c r="F20" s="188"/>
      <c r="G20" s="188"/>
      <c r="H20" s="188"/>
      <c r="I20" s="9"/>
    </row>
    <row r="21" spans="1:9" ht="15.75" x14ac:dyDescent="0.25">
      <c r="A21" s="6"/>
      <c r="B21" s="245"/>
      <c r="C21" s="247"/>
      <c r="D21" s="188"/>
      <c r="E21" s="188"/>
      <c r="F21" s="188"/>
      <c r="G21" s="188"/>
      <c r="H21" s="188"/>
      <c r="I21" s="9"/>
    </row>
    <row r="22" spans="1:9" ht="15.75" x14ac:dyDescent="0.25">
      <c r="A22" s="6"/>
      <c r="B22" s="245"/>
      <c r="C22" s="247"/>
      <c r="D22" s="188"/>
      <c r="E22" s="188"/>
      <c r="F22" s="188"/>
      <c r="G22" s="188"/>
      <c r="H22" s="188"/>
      <c r="I22" s="9"/>
    </row>
    <row r="23" spans="1:9" ht="15.75" x14ac:dyDescent="0.25">
      <c r="A23" s="6"/>
      <c r="B23" s="245"/>
      <c r="C23" s="247"/>
      <c r="D23" s="188"/>
      <c r="E23" s="188"/>
      <c r="F23" s="188"/>
      <c r="G23" s="188"/>
      <c r="H23" s="188"/>
      <c r="I23" s="9"/>
    </row>
    <row r="24" spans="1:9" ht="18.75" x14ac:dyDescent="0.3">
      <c r="A24" s="6"/>
      <c r="B24" s="245"/>
      <c r="C24" s="247"/>
      <c r="D24" s="5"/>
      <c r="E24" s="5"/>
      <c r="F24" s="5"/>
      <c r="G24" s="10"/>
      <c r="H24" s="5"/>
      <c r="I24" s="11"/>
    </row>
    <row r="25" spans="1:9" ht="18.75" x14ac:dyDescent="0.3">
      <c r="A25" s="12"/>
      <c r="B25" s="245"/>
      <c r="C25" s="247"/>
      <c r="D25" s="13"/>
      <c r="E25" s="13"/>
      <c r="F25" s="13"/>
      <c r="G25" s="14"/>
      <c r="H25" s="13"/>
      <c r="I25" s="15"/>
    </row>
    <row r="26" spans="1:9" ht="18.75" x14ac:dyDescent="0.3">
      <c r="A26" s="12"/>
      <c r="B26" s="245"/>
      <c r="C26" s="247"/>
      <c r="D26" s="13"/>
      <c r="E26" s="13"/>
      <c r="F26" s="13"/>
      <c r="G26" s="14"/>
      <c r="H26" s="13"/>
      <c r="I26" s="15"/>
    </row>
    <row r="27" spans="1:9" ht="19.5" thickBot="1" x14ac:dyDescent="0.35">
      <c r="A27" s="12"/>
      <c r="B27" s="248"/>
      <c r="C27" s="249"/>
      <c r="D27" s="16"/>
      <c r="E27" s="16"/>
      <c r="F27" s="16"/>
      <c r="G27" s="14"/>
      <c r="H27" s="16"/>
      <c r="I27" s="15"/>
    </row>
    <row r="28" spans="1:9" ht="30" customHeight="1" thickBot="1" x14ac:dyDescent="0.3">
      <c r="A28" s="194">
        <f>SUM(A5:A27)</f>
        <v>160</v>
      </c>
      <c r="B28" s="262" t="s">
        <v>211</v>
      </c>
      <c r="C28" s="263"/>
      <c r="D28" s="195">
        <f>SUM(D5:D27)</f>
        <v>204</v>
      </c>
      <c r="E28" s="196">
        <f>SUM(E5:E27)</f>
        <v>700</v>
      </c>
      <c r="F28" s="197">
        <f>SUM(F5:F27)</f>
        <v>20</v>
      </c>
      <c r="G28" s="198">
        <f>SUM(G5:G27)</f>
        <v>0</v>
      </c>
      <c r="H28" s="199">
        <f>SUM(H5:H27)</f>
        <v>1490</v>
      </c>
      <c r="I28" s="200" t="s">
        <v>213</v>
      </c>
    </row>
    <row r="29" spans="1:9" ht="30" customHeight="1" thickBot="1" x14ac:dyDescent="0.3">
      <c r="A29" s="264" t="s">
        <v>216</v>
      </c>
      <c r="B29" s="265"/>
      <c r="C29" s="265"/>
      <c r="D29" s="266"/>
      <c r="E29" s="273">
        <f>H28+G28+F28+E28+D28</f>
        <v>2414</v>
      </c>
      <c r="F29" s="274"/>
      <c r="G29" s="274"/>
      <c r="H29" s="275"/>
      <c r="I29" s="201" t="s">
        <v>12</v>
      </c>
    </row>
    <row r="30" spans="1:9" ht="30" customHeight="1" thickBot="1" x14ac:dyDescent="0.3">
      <c r="A30" s="267"/>
      <c r="B30" s="268"/>
      <c r="C30" s="268"/>
      <c r="D30" s="269"/>
      <c r="E30" s="273">
        <f>(SUM(H28,G28,F28,E28,D28) - A28)</f>
        <v>2254</v>
      </c>
      <c r="F30" s="274"/>
      <c r="G30" s="274"/>
      <c r="H30" s="275"/>
      <c r="I30" s="201" t="s">
        <v>209</v>
      </c>
    </row>
    <row r="31" spans="1:9" ht="30" customHeight="1" thickBot="1" x14ac:dyDescent="0.3">
      <c r="A31" s="267"/>
      <c r="B31" s="268"/>
      <c r="C31" s="268"/>
      <c r="D31" s="269"/>
      <c r="E31" s="273">
        <f>H28-A28</f>
        <v>1330</v>
      </c>
      <c r="F31" s="274"/>
      <c r="G31" s="274"/>
      <c r="H31" s="275"/>
      <c r="I31" s="201" t="s">
        <v>210</v>
      </c>
    </row>
    <row r="32" spans="1:9" ht="30" customHeight="1" thickBot="1" x14ac:dyDescent="0.3">
      <c r="A32" s="270"/>
      <c r="B32" s="271"/>
      <c r="C32" s="271"/>
      <c r="D32" s="272"/>
      <c r="E32" s="273">
        <v>7</v>
      </c>
      <c r="F32" s="274"/>
      <c r="G32" s="274"/>
      <c r="H32" s="275"/>
      <c r="I32" s="201" t="s">
        <v>212</v>
      </c>
    </row>
    <row r="43" spans="1:9" ht="15.75" thickBot="1" x14ac:dyDescent="0.3"/>
    <row r="44" spans="1:9" ht="23.25" thickBot="1" x14ac:dyDescent="0.35">
      <c r="A44" s="251" t="s">
        <v>220</v>
      </c>
      <c r="B44" s="252"/>
      <c r="C44" s="252"/>
      <c r="D44" s="252"/>
      <c r="E44" s="252"/>
      <c r="F44" s="252"/>
      <c r="G44" s="252"/>
      <c r="H44" s="252"/>
      <c r="I44" s="253"/>
    </row>
    <row r="45" spans="1:9" ht="19.5" thickBot="1" x14ac:dyDescent="0.35">
      <c r="A45" s="254" t="s">
        <v>1</v>
      </c>
      <c r="B45" s="255"/>
      <c r="C45" s="255"/>
      <c r="D45" s="254" t="s">
        <v>2</v>
      </c>
      <c r="E45" s="255"/>
      <c r="F45" s="255"/>
      <c r="G45" s="255"/>
      <c r="H45" s="255"/>
      <c r="I45" s="256"/>
    </row>
    <row r="46" spans="1:9" ht="19.5" thickBot="1" x14ac:dyDescent="0.35">
      <c r="A46" s="1" t="s">
        <v>3</v>
      </c>
      <c r="B46" s="257" t="s">
        <v>4</v>
      </c>
      <c r="C46" s="258"/>
      <c r="D46" s="2" t="s">
        <v>5</v>
      </c>
      <c r="E46" s="2" t="s">
        <v>6</v>
      </c>
      <c r="F46" s="2" t="s">
        <v>7</v>
      </c>
      <c r="G46" s="2" t="s">
        <v>8</v>
      </c>
      <c r="H46" s="2" t="s">
        <v>9</v>
      </c>
      <c r="I46" s="192" t="s">
        <v>10</v>
      </c>
    </row>
    <row r="47" spans="1:9" ht="16.5" thickBot="1" x14ac:dyDescent="0.3">
      <c r="A47" s="193">
        <v>24</v>
      </c>
      <c r="B47" s="259" t="s">
        <v>41</v>
      </c>
      <c r="C47" s="259"/>
      <c r="D47" s="193"/>
      <c r="E47" s="193"/>
      <c r="F47" s="191">
        <v>575</v>
      </c>
      <c r="G47" s="193"/>
      <c r="H47" s="191"/>
      <c r="I47" s="185" t="s">
        <v>222</v>
      </c>
    </row>
    <row r="48" spans="1:9" ht="15.75" x14ac:dyDescent="0.25">
      <c r="A48" s="6">
        <v>15</v>
      </c>
      <c r="B48" s="260" t="s">
        <v>230</v>
      </c>
      <c r="C48" s="261"/>
      <c r="D48" s="193"/>
      <c r="E48" s="193"/>
      <c r="F48" s="193"/>
      <c r="G48" s="193"/>
      <c r="H48" s="193">
        <v>350</v>
      </c>
      <c r="I48" s="184" t="s">
        <v>223</v>
      </c>
    </row>
    <row r="49" spans="1:9" ht="15.75" x14ac:dyDescent="0.25">
      <c r="A49" s="6">
        <f>4*15+4*25</f>
        <v>160</v>
      </c>
      <c r="B49" s="245" t="s">
        <v>241</v>
      </c>
      <c r="C49" s="247"/>
      <c r="D49" s="193"/>
      <c r="E49" s="193"/>
      <c r="F49" s="193"/>
      <c r="G49" s="193"/>
      <c r="H49" s="193">
        <v>450</v>
      </c>
      <c r="I49" s="184" t="s">
        <v>123</v>
      </c>
    </row>
    <row r="50" spans="1:9" ht="15.75" x14ac:dyDescent="0.25">
      <c r="A50" s="6"/>
      <c r="B50" s="245"/>
      <c r="C50" s="247"/>
      <c r="D50" s="193"/>
      <c r="E50" s="193"/>
      <c r="F50" s="193"/>
      <c r="G50" s="193"/>
      <c r="H50" s="193">
        <v>840</v>
      </c>
      <c r="I50" s="184" t="s">
        <v>226</v>
      </c>
    </row>
    <row r="51" spans="1:9" ht="15.75" x14ac:dyDescent="0.25">
      <c r="A51" s="6"/>
      <c r="B51" s="245"/>
      <c r="C51" s="247"/>
      <c r="D51" s="193"/>
      <c r="E51" s="193"/>
      <c r="F51" s="193"/>
      <c r="G51" s="193"/>
      <c r="H51" s="193">
        <v>18</v>
      </c>
      <c r="I51" s="184" t="s">
        <v>224</v>
      </c>
    </row>
    <row r="52" spans="1:9" ht="15.75" x14ac:dyDescent="0.25">
      <c r="A52" s="8"/>
      <c r="B52" s="250"/>
      <c r="C52" s="247"/>
      <c r="D52" s="193"/>
      <c r="E52" s="193"/>
      <c r="F52" s="193"/>
      <c r="G52" s="193"/>
      <c r="H52" s="193">
        <v>50</v>
      </c>
      <c r="I52" s="184" t="s">
        <v>225</v>
      </c>
    </row>
    <row r="53" spans="1:9" ht="15.75" x14ac:dyDescent="0.25">
      <c r="A53" s="6"/>
      <c r="B53" s="245"/>
      <c r="C53" s="247"/>
      <c r="D53" s="193"/>
      <c r="E53" s="193"/>
      <c r="F53" s="193"/>
      <c r="G53" s="193"/>
      <c r="H53" s="193">
        <v>10</v>
      </c>
      <c r="I53" s="184" t="s">
        <v>228</v>
      </c>
    </row>
    <row r="54" spans="1:9" ht="15.75" x14ac:dyDescent="0.25">
      <c r="A54" s="6"/>
      <c r="B54" s="245"/>
      <c r="C54" s="247"/>
      <c r="D54" s="193"/>
      <c r="E54" s="193"/>
      <c r="F54" s="193"/>
      <c r="G54" s="193"/>
      <c r="H54" s="193">
        <v>2.5</v>
      </c>
      <c r="I54" s="7" t="s">
        <v>242</v>
      </c>
    </row>
    <row r="55" spans="1:9" ht="15.75" x14ac:dyDescent="0.25">
      <c r="A55" s="6"/>
      <c r="B55" s="245"/>
      <c r="C55" s="247"/>
      <c r="D55" s="193"/>
      <c r="E55" s="193"/>
      <c r="F55" s="193"/>
      <c r="G55" s="193"/>
      <c r="H55" s="193">
        <v>550</v>
      </c>
      <c r="I55" s="184" t="s">
        <v>229</v>
      </c>
    </row>
    <row r="56" spans="1:9" ht="15.75" x14ac:dyDescent="0.25">
      <c r="A56" s="6"/>
      <c r="B56" s="245"/>
      <c r="C56" s="247"/>
      <c r="D56" s="193"/>
      <c r="E56" s="193"/>
      <c r="F56" s="193"/>
      <c r="G56" s="193"/>
      <c r="H56" s="193">
        <v>340</v>
      </c>
      <c r="I56" s="7" t="s">
        <v>223</v>
      </c>
    </row>
    <row r="57" spans="1:9" ht="15.75" x14ac:dyDescent="0.25">
      <c r="A57" s="6"/>
      <c r="B57" s="245"/>
      <c r="C57" s="247"/>
      <c r="D57" s="193"/>
      <c r="E57" s="193"/>
      <c r="F57" s="193"/>
      <c r="G57" s="193"/>
      <c r="H57" s="193"/>
      <c r="I57" s="9"/>
    </row>
    <row r="58" spans="1:9" ht="15.75" x14ac:dyDescent="0.25">
      <c r="A58" s="6"/>
      <c r="B58" s="245"/>
      <c r="C58" s="247"/>
      <c r="D58" s="193"/>
      <c r="E58" s="193"/>
      <c r="F58" s="193"/>
      <c r="G58" s="193"/>
      <c r="H58" s="193"/>
      <c r="I58" s="9"/>
    </row>
    <row r="59" spans="1:9" ht="15.75" x14ac:dyDescent="0.25">
      <c r="A59" s="6"/>
      <c r="B59" s="245"/>
      <c r="C59" s="247"/>
      <c r="D59" s="193"/>
      <c r="E59" s="193"/>
      <c r="F59" s="193"/>
      <c r="G59" s="193"/>
      <c r="H59" s="193"/>
      <c r="I59" s="9"/>
    </row>
    <row r="60" spans="1:9" ht="15.75" x14ac:dyDescent="0.25">
      <c r="A60" s="6"/>
      <c r="B60" s="245"/>
      <c r="C60" s="247"/>
      <c r="D60" s="193"/>
      <c r="E60" s="193"/>
      <c r="F60" s="193"/>
      <c r="G60" s="193"/>
      <c r="H60" s="193"/>
      <c r="I60" s="9"/>
    </row>
    <row r="61" spans="1:9" ht="15.75" x14ac:dyDescent="0.25">
      <c r="A61" s="6"/>
      <c r="B61" s="245"/>
      <c r="C61" s="247"/>
      <c r="D61" s="193"/>
      <c r="E61" s="193"/>
      <c r="F61" s="193"/>
      <c r="G61" s="193"/>
      <c r="H61" s="193"/>
      <c r="I61" s="9"/>
    </row>
    <row r="62" spans="1:9" ht="15.75" x14ac:dyDescent="0.25">
      <c r="A62" s="6"/>
      <c r="B62" s="245"/>
      <c r="C62" s="247"/>
      <c r="D62" s="193"/>
      <c r="E62" s="193"/>
      <c r="F62" s="193"/>
      <c r="G62" s="193"/>
      <c r="H62" s="193"/>
      <c r="I62" s="9"/>
    </row>
    <row r="63" spans="1:9" ht="15.75" x14ac:dyDescent="0.25">
      <c r="A63" s="6"/>
      <c r="B63" s="245"/>
      <c r="C63" s="247"/>
      <c r="D63" s="193"/>
      <c r="E63" s="193"/>
      <c r="F63" s="193"/>
      <c r="G63" s="193"/>
      <c r="H63" s="193"/>
      <c r="I63" s="9"/>
    </row>
    <row r="64" spans="1:9" ht="15.75" x14ac:dyDescent="0.25">
      <c r="A64" s="6"/>
      <c r="B64" s="245"/>
      <c r="C64" s="247"/>
      <c r="D64" s="193"/>
      <c r="E64" s="193"/>
      <c r="F64" s="193"/>
      <c r="G64" s="193"/>
      <c r="H64" s="193"/>
      <c r="I64" s="9"/>
    </row>
    <row r="65" spans="1:9" ht="15.75" x14ac:dyDescent="0.25">
      <c r="A65" s="6"/>
      <c r="B65" s="245"/>
      <c r="C65" s="247"/>
      <c r="D65" s="193"/>
      <c r="E65" s="193"/>
      <c r="F65" s="193"/>
      <c r="G65" s="193"/>
      <c r="H65" s="193"/>
      <c r="I65" s="9"/>
    </row>
    <row r="66" spans="1:9" ht="18.75" x14ac:dyDescent="0.3">
      <c r="A66" s="6"/>
      <c r="B66" s="245"/>
      <c r="C66" s="247"/>
      <c r="D66" s="5"/>
      <c r="E66" s="5"/>
      <c r="F66" s="5"/>
      <c r="G66" s="10"/>
      <c r="H66" s="5"/>
      <c r="I66" s="11"/>
    </row>
    <row r="67" spans="1:9" ht="18.75" x14ac:dyDescent="0.3">
      <c r="A67" s="12"/>
      <c r="B67" s="245"/>
      <c r="C67" s="247"/>
      <c r="D67" s="13"/>
      <c r="E67" s="13"/>
      <c r="F67" s="13"/>
      <c r="G67" s="14"/>
      <c r="H67" s="13"/>
      <c r="I67" s="15"/>
    </row>
    <row r="68" spans="1:9" ht="18.75" x14ac:dyDescent="0.3">
      <c r="A68" s="12"/>
      <c r="B68" s="245"/>
      <c r="C68" s="247"/>
      <c r="D68" s="13"/>
      <c r="E68" s="13"/>
      <c r="F68" s="13"/>
      <c r="G68" s="14"/>
      <c r="H68" s="13"/>
      <c r="I68" s="15"/>
    </row>
    <row r="69" spans="1:9" ht="19.5" thickBot="1" x14ac:dyDescent="0.35">
      <c r="A69" s="12"/>
      <c r="B69" s="248"/>
      <c r="C69" s="249"/>
      <c r="D69" s="16"/>
      <c r="E69" s="16"/>
      <c r="F69" s="16"/>
      <c r="G69" s="14"/>
      <c r="H69" s="16"/>
      <c r="I69" s="15"/>
    </row>
    <row r="70" spans="1:9" ht="16.5" thickBot="1" x14ac:dyDescent="0.3">
      <c r="A70" s="194">
        <f>SUM(A47:A69)</f>
        <v>199</v>
      </c>
      <c r="B70" s="262" t="s">
        <v>211</v>
      </c>
      <c r="C70" s="263"/>
      <c r="D70" s="195">
        <f>SUM(D47:D69)</f>
        <v>0</v>
      </c>
      <c r="E70" s="196">
        <f>SUM(E47:E69)</f>
        <v>0</v>
      </c>
      <c r="F70" s="197">
        <f>SUM(F47:F69)</f>
        <v>575</v>
      </c>
      <c r="G70" s="198">
        <f>SUM(G47:G69)</f>
        <v>0</v>
      </c>
      <c r="H70" s="199">
        <f>SUM(H47:H69)</f>
        <v>2610.5</v>
      </c>
      <c r="I70" s="200" t="s">
        <v>213</v>
      </c>
    </row>
    <row r="71" spans="1:9" ht="21" thickBot="1" x14ac:dyDescent="0.3">
      <c r="A71" s="264" t="s">
        <v>221</v>
      </c>
      <c r="B71" s="265"/>
      <c r="C71" s="265"/>
      <c r="D71" s="266"/>
      <c r="E71" s="273">
        <f>H70+G70+F70+E70+D70</f>
        <v>3185.5</v>
      </c>
      <c r="F71" s="274"/>
      <c r="G71" s="274"/>
      <c r="H71" s="275"/>
      <c r="I71" s="201" t="s">
        <v>12</v>
      </c>
    </row>
    <row r="72" spans="1:9" ht="21" thickBot="1" x14ac:dyDescent="0.3">
      <c r="A72" s="267"/>
      <c r="B72" s="268"/>
      <c r="C72" s="268"/>
      <c r="D72" s="269"/>
      <c r="E72" s="273">
        <f>(SUM(H70,G70,F70,E70,D70) - A70)</f>
        <v>2986.5</v>
      </c>
      <c r="F72" s="274"/>
      <c r="G72" s="274"/>
      <c r="H72" s="275"/>
      <c r="I72" s="201" t="s">
        <v>209</v>
      </c>
    </row>
    <row r="73" spans="1:9" ht="21" thickBot="1" x14ac:dyDescent="0.3">
      <c r="A73" s="267"/>
      <c r="B73" s="268"/>
      <c r="C73" s="268"/>
      <c r="D73" s="269"/>
      <c r="E73" s="273">
        <f>H70-A70</f>
        <v>2411.5</v>
      </c>
      <c r="F73" s="274"/>
      <c r="G73" s="274"/>
      <c r="H73" s="275"/>
      <c r="I73" s="201" t="s">
        <v>210</v>
      </c>
    </row>
    <row r="74" spans="1:9" ht="21" thickBot="1" x14ac:dyDescent="0.3">
      <c r="A74" s="270"/>
      <c r="B74" s="271"/>
      <c r="C74" s="271"/>
      <c r="D74" s="272"/>
      <c r="E74" s="273">
        <v>9</v>
      </c>
      <c r="F74" s="274"/>
      <c r="G74" s="274"/>
      <c r="H74" s="275"/>
      <c r="I74" s="201" t="s">
        <v>212</v>
      </c>
    </row>
    <row r="88" spans="1:9" ht="15.75" thickBot="1" x14ac:dyDescent="0.3"/>
    <row r="89" spans="1:9" ht="23.25" thickBot="1" x14ac:dyDescent="0.35">
      <c r="A89" s="251" t="s">
        <v>231</v>
      </c>
      <c r="B89" s="252"/>
      <c r="C89" s="252"/>
      <c r="D89" s="252"/>
      <c r="E89" s="252"/>
      <c r="F89" s="252"/>
      <c r="G89" s="252"/>
      <c r="H89" s="252"/>
      <c r="I89" s="253"/>
    </row>
    <row r="90" spans="1:9" ht="19.5" thickBot="1" x14ac:dyDescent="0.35">
      <c r="A90" s="254" t="s">
        <v>1</v>
      </c>
      <c r="B90" s="255"/>
      <c r="C90" s="255"/>
      <c r="D90" s="254" t="s">
        <v>2</v>
      </c>
      <c r="E90" s="255"/>
      <c r="F90" s="255"/>
      <c r="G90" s="255"/>
      <c r="H90" s="255"/>
      <c r="I90" s="256"/>
    </row>
    <row r="91" spans="1:9" ht="19.5" thickBot="1" x14ac:dyDescent="0.35">
      <c r="A91" s="1" t="s">
        <v>3</v>
      </c>
      <c r="B91" s="257" t="s">
        <v>4</v>
      </c>
      <c r="C91" s="258"/>
      <c r="D91" s="2" t="s">
        <v>5</v>
      </c>
      <c r="E91" s="2" t="s">
        <v>6</v>
      </c>
      <c r="F91" s="2" t="s">
        <v>7</v>
      </c>
      <c r="G91" s="2" t="s">
        <v>8</v>
      </c>
      <c r="H91" s="2" t="s">
        <v>9</v>
      </c>
      <c r="I91" s="192" t="s">
        <v>232</v>
      </c>
    </row>
    <row r="92" spans="1:9" ht="16.5" thickBot="1" x14ac:dyDescent="0.3">
      <c r="A92" s="193">
        <v>605</v>
      </c>
      <c r="B92" s="259" t="s">
        <v>234</v>
      </c>
      <c r="C92" s="259"/>
      <c r="D92" s="193"/>
      <c r="E92" s="193"/>
      <c r="F92" s="191"/>
      <c r="G92" s="193"/>
      <c r="H92" s="191">
        <v>2625</v>
      </c>
      <c r="I92" s="185" t="s">
        <v>233</v>
      </c>
    </row>
    <row r="93" spans="1:9" ht="15.75" x14ac:dyDescent="0.25">
      <c r="A93" s="6">
        <v>25</v>
      </c>
      <c r="B93" s="260" t="s">
        <v>234</v>
      </c>
      <c r="C93" s="261"/>
      <c r="D93" s="193"/>
      <c r="E93" s="193"/>
      <c r="F93" s="193">
        <v>590</v>
      </c>
      <c r="G93" s="193"/>
      <c r="H93" s="193">
        <v>449</v>
      </c>
      <c r="I93" s="184" t="s">
        <v>235</v>
      </c>
    </row>
    <row r="94" spans="1:9" ht="15.75" x14ac:dyDescent="0.25">
      <c r="A94" s="6">
        <v>40</v>
      </c>
      <c r="B94" s="245" t="s">
        <v>234</v>
      </c>
      <c r="C94" s="247"/>
      <c r="D94" s="193">
        <v>440</v>
      </c>
      <c r="E94" s="193"/>
      <c r="F94" s="193"/>
      <c r="G94" s="193"/>
      <c r="H94" s="193">
        <v>825</v>
      </c>
      <c r="I94" s="184" t="s">
        <v>236</v>
      </c>
    </row>
    <row r="95" spans="1:9" ht="15.75" x14ac:dyDescent="0.25">
      <c r="A95" s="6">
        <v>400</v>
      </c>
      <c r="B95" s="245" t="s">
        <v>1</v>
      </c>
      <c r="C95" s="247"/>
      <c r="D95" s="193"/>
      <c r="E95" s="193"/>
      <c r="F95" s="193"/>
      <c r="G95" s="193"/>
      <c r="H95" s="193">
        <v>2647</v>
      </c>
      <c r="I95" s="184" t="s">
        <v>237</v>
      </c>
    </row>
    <row r="96" spans="1:9" ht="15.75" x14ac:dyDescent="0.25">
      <c r="A96" s="6">
        <v>160</v>
      </c>
      <c r="B96" s="245" t="s">
        <v>234</v>
      </c>
      <c r="C96" s="247"/>
      <c r="D96" s="193">
        <v>204</v>
      </c>
      <c r="E96" s="193">
        <v>700</v>
      </c>
      <c r="F96" s="193">
        <v>20</v>
      </c>
      <c r="G96" s="193"/>
      <c r="H96" s="193">
        <v>1490</v>
      </c>
      <c r="I96" s="184" t="s">
        <v>238</v>
      </c>
    </row>
    <row r="97" spans="1:9" ht="15.75" x14ac:dyDescent="0.25">
      <c r="A97" s="8">
        <v>199</v>
      </c>
      <c r="B97" s="250" t="s">
        <v>234</v>
      </c>
      <c r="C97" s="247"/>
      <c r="D97" s="193"/>
      <c r="E97" s="193"/>
      <c r="F97" s="193">
        <v>575</v>
      </c>
      <c r="G97" s="193"/>
      <c r="H97" s="193">
        <v>2611</v>
      </c>
      <c r="I97" s="184" t="s">
        <v>239</v>
      </c>
    </row>
    <row r="98" spans="1:9" ht="15.75" x14ac:dyDescent="0.25">
      <c r="A98" s="6"/>
      <c r="B98" s="245"/>
      <c r="C98" s="247"/>
      <c r="D98" s="193"/>
      <c r="E98" s="193"/>
      <c r="F98" s="193"/>
      <c r="G98" s="193"/>
      <c r="H98" s="193"/>
      <c r="I98" s="184"/>
    </row>
    <row r="99" spans="1:9" ht="15.75" x14ac:dyDescent="0.25">
      <c r="A99" s="6"/>
      <c r="B99" s="245"/>
      <c r="C99" s="247"/>
      <c r="D99" s="193"/>
      <c r="E99" s="193"/>
      <c r="F99" s="193"/>
      <c r="G99" s="193"/>
      <c r="H99" s="193"/>
      <c r="I99" s="7"/>
    </row>
    <row r="100" spans="1:9" ht="15.75" x14ac:dyDescent="0.25">
      <c r="A100" s="6"/>
      <c r="B100" s="245"/>
      <c r="C100" s="247"/>
      <c r="D100" s="193"/>
      <c r="E100" s="193"/>
      <c r="F100" s="193"/>
      <c r="G100" s="193"/>
      <c r="H100" s="193"/>
      <c r="I100" s="184"/>
    </row>
    <row r="101" spans="1:9" ht="15.75" x14ac:dyDescent="0.25">
      <c r="A101" s="6"/>
      <c r="B101" s="245"/>
      <c r="C101" s="247"/>
      <c r="D101" s="193"/>
      <c r="E101" s="193"/>
      <c r="F101" s="193"/>
      <c r="G101" s="193"/>
      <c r="H101" s="193"/>
      <c r="I101" s="7"/>
    </row>
    <row r="102" spans="1:9" ht="15.75" x14ac:dyDescent="0.25">
      <c r="A102" s="6"/>
      <c r="B102" s="245"/>
      <c r="C102" s="247"/>
      <c r="D102" s="193"/>
      <c r="E102" s="193"/>
      <c r="F102" s="193"/>
      <c r="G102" s="193"/>
      <c r="H102" s="193"/>
      <c r="I102" s="9"/>
    </row>
    <row r="103" spans="1:9" ht="15.75" x14ac:dyDescent="0.25">
      <c r="A103" s="6"/>
      <c r="B103" s="245"/>
      <c r="C103" s="247"/>
      <c r="D103" s="193"/>
      <c r="E103" s="193"/>
      <c r="F103" s="193"/>
      <c r="G103" s="193"/>
      <c r="H103" s="193"/>
      <c r="I103" s="9"/>
    </row>
    <row r="104" spans="1:9" ht="15.75" x14ac:dyDescent="0.25">
      <c r="A104" s="6"/>
      <c r="B104" s="245"/>
      <c r="C104" s="247"/>
      <c r="D104" s="193"/>
      <c r="E104" s="193"/>
      <c r="F104" s="193"/>
      <c r="G104" s="193"/>
      <c r="H104" s="193"/>
      <c r="I104" s="9"/>
    </row>
    <row r="105" spans="1:9" ht="15.75" x14ac:dyDescent="0.25">
      <c r="A105" s="6"/>
      <c r="B105" s="245"/>
      <c r="C105" s="247"/>
      <c r="D105" s="193"/>
      <c r="E105" s="193"/>
      <c r="F105" s="193"/>
      <c r="G105" s="193"/>
      <c r="H105" s="193"/>
      <c r="I105" s="9"/>
    </row>
    <row r="106" spans="1:9" ht="15.75" x14ac:dyDescent="0.25">
      <c r="A106" s="6"/>
      <c r="B106" s="245"/>
      <c r="C106" s="247"/>
      <c r="D106" s="193"/>
      <c r="E106" s="193"/>
      <c r="F106" s="193"/>
      <c r="G106" s="193"/>
      <c r="H106" s="193"/>
      <c r="I106" s="9"/>
    </row>
    <row r="107" spans="1:9" ht="15.75" x14ac:dyDescent="0.25">
      <c r="A107" s="6"/>
      <c r="B107" s="245"/>
      <c r="C107" s="247"/>
      <c r="D107" s="193"/>
      <c r="E107" s="193"/>
      <c r="F107" s="193"/>
      <c r="G107" s="193"/>
      <c r="H107" s="193"/>
      <c r="I107" s="9"/>
    </row>
    <row r="108" spans="1:9" ht="15.75" x14ac:dyDescent="0.25">
      <c r="A108" s="6"/>
      <c r="B108" s="245"/>
      <c r="C108" s="247"/>
      <c r="D108" s="193"/>
      <c r="E108" s="193"/>
      <c r="F108" s="193"/>
      <c r="G108" s="193"/>
      <c r="H108" s="193"/>
      <c r="I108" s="9"/>
    </row>
    <row r="109" spans="1:9" ht="15.75" x14ac:dyDescent="0.25">
      <c r="A109" s="6"/>
      <c r="B109" s="245"/>
      <c r="C109" s="247"/>
      <c r="D109" s="193"/>
      <c r="E109" s="193"/>
      <c r="F109" s="193"/>
      <c r="G109" s="193"/>
      <c r="H109" s="193"/>
      <c r="I109" s="9"/>
    </row>
    <row r="110" spans="1:9" ht="15.75" x14ac:dyDescent="0.25">
      <c r="A110" s="6"/>
      <c r="B110" s="245"/>
      <c r="C110" s="247"/>
      <c r="D110" s="193"/>
      <c r="E110" s="193"/>
      <c r="F110" s="193"/>
      <c r="G110" s="193"/>
      <c r="H110" s="193"/>
      <c r="I110" s="9"/>
    </row>
    <row r="111" spans="1:9" ht="18.75" x14ac:dyDescent="0.3">
      <c r="A111" s="6"/>
      <c r="B111" s="245"/>
      <c r="C111" s="247"/>
      <c r="D111" s="5"/>
      <c r="E111" s="5"/>
      <c r="F111" s="5"/>
      <c r="G111" s="10"/>
      <c r="H111" s="5"/>
      <c r="I111" s="11"/>
    </row>
    <row r="112" spans="1:9" ht="18.75" x14ac:dyDescent="0.3">
      <c r="A112" s="12"/>
      <c r="B112" s="245"/>
      <c r="C112" s="247"/>
      <c r="D112" s="13"/>
      <c r="E112" s="13"/>
      <c r="F112" s="13"/>
      <c r="G112" s="14"/>
      <c r="H112" s="13"/>
      <c r="I112" s="15"/>
    </row>
    <row r="113" spans="1:9" ht="18.75" x14ac:dyDescent="0.3">
      <c r="A113" s="12"/>
      <c r="B113" s="245"/>
      <c r="C113" s="247"/>
      <c r="D113" s="13"/>
      <c r="E113" s="13"/>
      <c r="F113" s="13"/>
      <c r="G113" s="14"/>
      <c r="H113" s="13"/>
      <c r="I113" s="15"/>
    </row>
    <row r="114" spans="1:9" ht="19.5" thickBot="1" x14ac:dyDescent="0.35">
      <c r="A114" s="12"/>
      <c r="B114" s="248"/>
      <c r="C114" s="249"/>
      <c r="D114" s="16"/>
      <c r="E114" s="16"/>
      <c r="F114" s="16"/>
      <c r="G114" s="14"/>
      <c r="H114" s="16"/>
      <c r="I114" s="15"/>
    </row>
    <row r="115" spans="1:9" ht="16.5" thickBot="1" x14ac:dyDescent="0.3">
      <c r="A115" s="194">
        <f>SUM(A92:A114)</f>
        <v>1429</v>
      </c>
      <c r="B115" s="262" t="s">
        <v>211</v>
      </c>
      <c r="C115" s="263"/>
      <c r="D115" s="195">
        <f>SUM(D92:D114)</f>
        <v>644</v>
      </c>
      <c r="E115" s="196">
        <f>SUM(E92:E114)</f>
        <v>700</v>
      </c>
      <c r="F115" s="197">
        <f>SUM(F92:F114)</f>
        <v>1185</v>
      </c>
      <c r="G115" s="198">
        <f>SUM(G92:G114)</f>
        <v>0</v>
      </c>
      <c r="H115" s="199">
        <f>SUM(H92:H114)</f>
        <v>10647</v>
      </c>
      <c r="I115" s="200" t="s">
        <v>213</v>
      </c>
    </row>
    <row r="116" spans="1:9" ht="21" thickBot="1" x14ac:dyDescent="0.3">
      <c r="A116" s="264" t="s">
        <v>240</v>
      </c>
      <c r="B116" s="265"/>
      <c r="C116" s="265"/>
      <c r="D116" s="266"/>
      <c r="E116" s="273">
        <f>H115+G115+F115+E115+D115</f>
        <v>13176</v>
      </c>
      <c r="F116" s="274"/>
      <c r="G116" s="274"/>
      <c r="H116" s="275"/>
      <c r="I116" s="201" t="s">
        <v>12</v>
      </c>
    </row>
    <row r="117" spans="1:9" ht="21" thickBot="1" x14ac:dyDescent="0.3">
      <c r="A117" s="267"/>
      <c r="B117" s="268"/>
      <c r="C117" s="268"/>
      <c r="D117" s="269"/>
      <c r="E117" s="273">
        <f>(SUM(H115,G115,F115,E115,D115) - A115)</f>
        <v>11747</v>
      </c>
      <c r="F117" s="274"/>
      <c r="G117" s="274"/>
      <c r="H117" s="275"/>
      <c r="I117" s="201" t="s">
        <v>209</v>
      </c>
    </row>
    <row r="118" spans="1:9" ht="21" thickBot="1" x14ac:dyDescent="0.3">
      <c r="A118" s="267"/>
      <c r="B118" s="268"/>
      <c r="C118" s="268"/>
      <c r="D118" s="269"/>
      <c r="E118" s="273">
        <f>H115-A115</f>
        <v>9218</v>
      </c>
      <c r="F118" s="274"/>
      <c r="G118" s="274"/>
      <c r="H118" s="275"/>
      <c r="I118" s="201" t="s">
        <v>210</v>
      </c>
    </row>
    <row r="119" spans="1:9" ht="21" thickBot="1" x14ac:dyDescent="0.3">
      <c r="A119" s="270"/>
      <c r="B119" s="271"/>
      <c r="C119" s="271"/>
      <c r="D119" s="272"/>
      <c r="E119" s="273">
        <f>5+3+4+7+7+9</f>
        <v>35</v>
      </c>
      <c r="F119" s="274"/>
      <c r="G119" s="274"/>
      <c r="H119" s="275"/>
      <c r="I119" s="201" t="s">
        <v>212</v>
      </c>
    </row>
    <row r="133" spans="1:9" ht="15.75" thickBot="1" x14ac:dyDescent="0.3"/>
    <row r="134" spans="1:9" ht="23.25" thickBot="1" x14ac:dyDescent="0.35">
      <c r="A134" s="251" t="s">
        <v>243</v>
      </c>
      <c r="B134" s="252"/>
      <c r="C134" s="252"/>
      <c r="D134" s="252"/>
      <c r="E134" s="252"/>
      <c r="F134" s="252"/>
      <c r="G134" s="252"/>
      <c r="H134" s="252"/>
      <c r="I134" s="253"/>
    </row>
    <row r="135" spans="1:9" ht="19.5" thickBot="1" x14ac:dyDescent="0.35">
      <c r="A135" s="254" t="s">
        <v>1</v>
      </c>
      <c r="B135" s="255"/>
      <c r="C135" s="255"/>
      <c r="D135" s="254" t="s">
        <v>2</v>
      </c>
      <c r="E135" s="255"/>
      <c r="F135" s="255"/>
      <c r="G135" s="255"/>
      <c r="H135" s="255"/>
      <c r="I135" s="256"/>
    </row>
    <row r="136" spans="1:9" ht="19.5" thickBot="1" x14ac:dyDescent="0.35">
      <c r="A136" s="1" t="s">
        <v>3</v>
      </c>
      <c r="B136" s="257" t="s">
        <v>4</v>
      </c>
      <c r="C136" s="258"/>
      <c r="D136" s="2" t="s">
        <v>5</v>
      </c>
      <c r="E136" s="2" t="s">
        <v>6</v>
      </c>
      <c r="F136" s="2" t="s">
        <v>7</v>
      </c>
      <c r="G136" s="2" t="s">
        <v>8</v>
      </c>
      <c r="H136" s="2" t="s">
        <v>9</v>
      </c>
      <c r="I136" s="203" t="s">
        <v>10</v>
      </c>
    </row>
    <row r="137" spans="1:9" ht="16.5" thickBot="1" x14ac:dyDescent="0.3">
      <c r="A137" s="204">
        <v>20</v>
      </c>
      <c r="B137" s="259" t="s">
        <v>177</v>
      </c>
      <c r="C137" s="259"/>
      <c r="D137" s="204"/>
      <c r="E137" s="204"/>
      <c r="F137" s="202"/>
      <c r="G137" s="204"/>
      <c r="H137" s="202">
        <v>350</v>
      </c>
      <c r="I137" s="185" t="s">
        <v>203</v>
      </c>
    </row>
    <row r="138" spans="1:9" ht="15.75" x14ac:dyDescent="0.25">
      <c r="A138" s="6">
        <f>2*15+4*25</f>
        <v>130</v>
      </c>
      <c r="B138" s="260" t="s">
        <v>250</v>
      </c>
      <c r="C138" s="261"/>
      <c r="D138" s="204"/>
      <c r="E138" s="204"/>
      <c r="F138" s="204"/>
      <c r="G138" s="204"/>
      <c r="H138" s="204">
        <v>100</v>
      </c>
      <c r="I138" s="184" t="s">
        <v>244</v>
      </c>
    </row>
    <row r="139" spans="1:9" ht="15.75" x14ac:dyDescent="0.25">
      <c r="A139" s="6"/>
      <c r="B139" s="245"/>
      <c r="C139" s="247"/>
      <c r="D139" s="204"/>
      <c r="E139" s="204"/>
      <c r="F139" s="204"/>
      <c r="G139" s="204"/>
      <c r="H139" s="204">
        <v>390</v>
      </c>
      <c r="I139" s="184" t="s">
        <v>64</v>
      </c>
    </row>
    <row r="140" spans="1:9" ht="15.75" x14ac:dyDescent="0.25">
      <c r="A140" s="6"/>
      <c r="B140" s="245"/>
      <c r="C140" s="247"/>
      <c r="D140" s="204"/>
      <c r="E140" s="204"/>
      <c r="F140" s="204"/>
      <c r="G140" s="204"/>
      <c r="H140" s="204">
        <v>30</v>
      </c>
      <c r="I140" s="184" t="s">
        <v>187</v>
      </c>
    </row>
    <row r="141" spans="1:9" ht="15.75" x14ac:dyDescent="0.25">
      <c r="A141" s="6"/>
      <c r="B141" s="245"/>
      <c r="C141" s="247"/>
      <c r="D141" s="204"/>
      <c r="E141" s="204"/>
      <c r="F141" s="204"/>
      <c r="G141" s="204"/>
      <c r="H141" s="204">
        <v>400</v>
      </c>
      <c r="I141" s="184" t="s">
        <v>245</v>
      </c>
    </row>
    <row r="142" spans="1:9" ht="15.75" x14ac:dyDescent="0.25">
      <c r="A142" s="8"/>
      <c r="B142" s="250"/>
      <c r="C142" s="247"/>
      <c r="D142" s="204"/>
      <c r="E142" s="204"/>
      <c r="F142" s="204">
        <v>189</v>
      </c>
      <c r="G142" s="204"/>
      <c r="H142" s="204"/>
      <c r="I142" s="184" t="s">
        <v>246</v>
      </c>
    </row>
    <row r="143" spans="1:9" ht="15.75" x14ac:dyDescent="0.25">
      <c r="A143" s="6"/>
      <c r="B143" s="245"/>
      <c r="C143" s="247"/>
      <c r="D143" s="204"/>
      <c r="E143" s="204"/>
      <c r="F143" s="204"/>
      <c r="G143" s="204"/>
      <c r="H143" s="204"/>
      <c r="I143" s="184" t="s">
        <v>247</v>
      </c>
    </row>
    <row r="144" spans="1:9" ht="15.75" x14ac:dyDescent="0.25">
      <c r="A144" s="6"/>
      <c r="B144" s="245"/>
      <c r="C144" s="247"/>
      <c r="D144" s="204"/>
      <c r="E144" s="204"/>
      <c r="F144" s="204"/>
      <c r="G144" s="204"/>
      <c r="H144" s="204">
        <v>330</v>
      </c>
      <c r="I144" s="184" t="s">
        <v>223</v>
      </c>
    </row>
    <row r="145" spans="1:9" ht="15.75" x14ac:dyDescent="0.25">
      <c r="A145" s="6"/>
      <c r="B145" s="245"/>
      <c r="C145" s="247"/>
      <c r="D145" s="204"/>
      <c r="E145" s="204"/>
      <c r="F145" s="204"/>
      <c r="G145" s="204"/>
      <c r="H145" s="204">
        <v>14</v>
      </c>
      <c r="I145" s="184" t="s">
        <v>225</v>
      </c>
    </row>
    <row r="146" spans="1:9" ht="15.75" x14ac:dyDescent="0.25">
      <c r="A146" s="6"/>
      <c r="B146" s="245"/>
      <c r="C146" s="247"/>
      <c r="D146" s="204"/>
      <c r="E146" s="204"/>
      <c r="F146" s="204">
        <v>315</v>
      </c>
      <c r="G146" s="204"/>
      <c r="H146" s="204"/>
      <c r="I146" s="184" t="s">
        <v>248</v>
      </c>
    </row>
    <row r="147" spans="1:9" ht="15.75" x14ac:dyDescent="0.25">
      <c r="A147" s="6"/>
      <c r="B147" s="245"/>
      <c r="C147" s="247"/>
      <c r="D147" s="204"/>
      <c r="E147" s="204"/>
      <c r="F147" s="204"/>
      <c r="G147" s="204"/>
      <c r="H147" s="204">
        <v>215</v>
      </c>
      <c r="I147" s="7" t="s">
        <v>249</v>
      </c>
    </row>
    <row r="148" spans="1:9" ht="15.75" x14ac:dyDescent="0.25">
      <c r="A148" s="6"/>
      <c r="B148" s="245"/>
      <c r="C148" s="247"/>
      <c r="D148" s="204"/>
      <c r="E148" s="204"/>
      <c r="F148" s="204"/>
      <c r="G148" s="204"/>
      <c r="H148" s="204">
        <v>215</v>
      </c>
      <c r="I148" s="7" t="s">
        <v>251</v>
      </c>
    </row>
    <row r="149" spans="1:9" ht="15.75" x14ac:dyDescent="0.25">
      <c r="A149" s="6"/>
      <c r="B149" s="245"/>
      <c r="C149" s="247"/>
      <c r="D149" s="204"/>
      <c r="E149" s="204"/>
      <c r="F149" s="204"/>
      <c r="G149" s="204"/>
      <c r="H149" s="204"/>
      <c r="I149" s="9"/>
    </row>
    <row r="150" spans="1:9" ht="15.75" x14ac:dyDescent="0.25">
      <c r="A150" s="6"/>
      <c r="B150" s="245"/>
      <c r="C150" s="247"/>
      <c r="D150" s="204"/>
      <c r="E150" s="204"/>
      <c r="F150" s="204"/>
      <c r="G150" s="204"/>
      <c r="H150" s="204"/>
      <c r="I150" s="9"/>
    </row>
    <row r="151" spans="1:9" ht="15.75" x14ac:dyDescent="0.25">
      <c r="A151" s="6"/>
      <c r="B151" s="245"/>
      <c r="C151" s="247"/>
      <c r="D151" s="204"/>
      <c r="E151" s="204"/>
      <c r="F151" s="204"/>
      <c r="G151" s="204"/>
      <c r="H151" s="204"/>
      <c r="I151" s="9"/>
    </row>
    <row r="152" spans="1:9" ht="15.75" x14ac:dyDescent="0.25">
      <c r="A152" s="6"/>
      <c r="B152" s="245"/>
      <c r="C152" s="247"/>
      <c r="D152" s="204"/>
      <c r="E152" s="204"/>
      <c r="F152" s="204"/>
      <c r="G152" s="204"/>
      <c r="H152" s="204"/>
      <c r="I152" s="9"/>
    </row>
    <row r="153" spans="1:9" ht="15.75" x14ac:dyDescent="0.25">
      <c r="A153" s="6"/>
      <c r="B153" s="245"/>
      <c r="C153" s="247"/>
      <c r="D153" s="204"/>
      <c r="E153" s="204"/>
      <c r="F153" s="204"/>
      <c r="G153" s="204"/>
      <c r="H153" s="204"/>
      <c r="I153" s="9"/>
    </row>
    <row r="154" spans="1:9" ht="15.75" x14ac:dyDescent="0.25">
      <c r="A154" s="6"/>
      <c r="B154" s="245"/>
      <c r="C154" s="247"/>
      <c r="D154" s="204"/>
      <c r="E154" s="204"/>
      <c r="F154" s="204"/>
      <c r="G154" s="204"/>
      <c r="H154" s="204"/>
      <c r="I154" s="9"/>
    </row>
    <row r="155" spans="1:9" ht="15.75" x14ac:dyDescent="0.25">
      <c r="A155" s="6"/>
      <c r="B155" s="245"/>
      <c r="C155" s="247"/>
      <c r="D155" s="204"/>
      <c r="E155" s="204"/>
      <c r="F155" s="204"/>
      <c r="G155" s="204"/>
      <c r="H155" s="204"/>
      <c r="I155" s="9"/>
    </row>
    <row r="156" spans="1:9" ht="18.75" x14ac:dyDescent="0.3">
      <c r="A156" s="6"/>
      <c r="B156" s="245"/>
      <c r="C156" s="247"/>
      <c r="D156" s="5"/>
      <c r="E156" s="5"/>
      <c r="F156" s="5"/>
      <c r="G156" s="10"/>
      <c r="H156" s="5"/>
      <c r="I156" s="11"/>
    </row>
    <row r="157" spans="1:9" ht="18.75" x14ac:dyDescent="0.3">
      <c r="A157" s="12"/>
      <c r="B157" s="245"/>
      <c r="C157" s="247"/>
      <c r="D157" s="13"/>
      <c r="E157" s="13"/>
      <c r="F157" s="13"/>
      <c r="G157" s="14"/>
      <c r="H157" s="13"/>
      <c r="I157" s="15"/>
    </row>
    <row r="158" spans="1:9" ht="18.75" x14ac:dyDescent="0.3">
      <c r="A158" s="12"/>
      <c r="B158" s="245"/>
      <c r="C158" s="247"/>
      <c r="D158" s="13"/>
      <c r="E158" s="13"/>
      <c r="F158" s="13"/>
      <c r="G158" s="14"/>
      <c r="H158" s="13"/>
      <c r="I158" s="15"/>
    </row>
    <row r="159" spans="1:9" ht="19.5" thickBot="1" x14ac:dyDescent="0.35">
      <c r="A159" s="12"/>
      <c r="B159" s="248"/>
      <c r="C159" s="249"/>
      <c r="D159" s="16"/>
      <c r="E159" s="16"/>
      <c r="F159" s="16"/>
      <c r="G159" s="14"/>
      <c r="H159" s="16"/>
      <c r="I159" s="15"/>
    </row>
    <row r="160" spans="1:9" ht="16.5" thickBot="1" x14ac:dyDescent="0.3">
      <c r="A160" s="194">
        <f>SUM(A137:A159)</f>
        <v>150</v>
      </c>
      <c r="B160" s="262" t="s">
        <v>211</v>
      </c>
      <c r="C160" s="263"/>
      <c r="D160" s="195">
        <f>SUM(D137:D159)</f>
        <v>0</v>
      </c>
      <c r="E160" s="196">
        <f>SUM(E137:E159)</f>
        <v>0</v>
      </c>
      <c r="F160" s="197">
        <f>SUM(F137:F159)</f>
        <v>504</v>
      </c>
      <c r="G160" s="198">
        <f>SUM(G137:G159)</f>
        <v>0</v>
      </c>
      <c r="H160" s="199">
        <f>SUM(H137:H159)</f>
        <v>2044</v>
      </c>
      <c r="I160" s="200" t="s">
        <v>213</v>
      </c>
    </row>
    <row r="161" spans="1:9" ht="21" thickBot="1" x14ac:dyDescent="0.3">
      <c r="A161" s="264" t="s">
        <v>252</v>
      </c>
      <c r="B161" s="265"/>
      <c r="C161" s="265"/>
      <c r="D161" s="266"/>
      <c r="E161" s="273">
        <f>H160+G160+F160+E160+D160</f>
        <v>2548</v>
      </c>
      <c r="F161" s="274"/>
      <c r="G161" s="274"/>
      <c r="H161" s="275"/>
      <c r="I161" s="205" t="s">
        <v>12</v>
      </c>
    </row>
    <row r="162" spans="1:9" ht="21" thickBot="1" x14ac:dyDescent="0.3">
      <c r="A162" s="267"/>
      <c r="B162" s="268"/>
      <c r="C162" s="268"/>
      <c r="D162" s="269"/>
      <c r="E162" s="273">
        <f>(SUM(H160,G160,F160,E160,D160) - A160)</f>
        <v>2398</v>
      </c>
      <c r="F162" s="274"/>
      <c r="G162" s="274"/>
      <c r="H162" s="275"/>
      <c r="I162" s="205" t="s">
        <v>209</v>
      </c>
    </row>
    <row r="163" spans="1:9" ht="21" thickBot="1" x14ac:dyDescent="0.3">
      <c r="A163" s="267"/>
      <c r="B163" s="268"/>
      <c r="C163" s="268"/>
      <c r="D163" s="269"/>
      <c r="E163" s="273">
        <f>H160-A160</f>
        <v>1894</v>
      </c>
      <c r="F163" s="274"/>
      <c r="G163" s="274"/>
      <c r="H163" s="275"/>
      <c r="I163" s="205" t="s">
        <v>210</v>
      </c>
    </row>
    <row r="164" spans="1:9" ht="21" thickBot="1" x14ac:dyDescent="0.3">
      <c r="A164" s="270"/>
      <c r="B164" s="271"/>
      <c r="C164" s="271"/>
      <c r="D164" s="272"/>
      <c r="E164" s="273">
        <f>10</f>
        <v>10</v>
      </c>
      <c r="F164" s="274"/>
      <c r="G164" s="274"/>
      <c r="H164" s="275"/>
      <c r="I164" s="205" t="s">
        <v>212</v>
      </c>
    </row>
    <row r="178" spans="1:9" ht="15.75" thickBot="1" x14ac:dyDescent="0.3"/>
    <row r="179" spans="1:9" ht="23.25" thickBot="1" x14ac:dyDescent="0.35">
      <c r="A179" s="251" t="s">
        <v>253</v>
      </c>
      <c r="B179" s="252"/>
      <c r="C179" s="252"/>
      <c r="D179" s="252"/>
      <c r="E179" s="252"/>
      <c r="F179" s="252"/>
      <c r="G179" s="252"/>
      <c r="H179" s="252"/>
      <c r="I179" s="253"/>
    </row>
    <row r="180" spans="1:9" ht="19.5" thickBot="1" x14ac:dyDescent="0.35">
      <c r="A180" s="254" t="s">
        <v>1</v>
      </c>
      <c r="B180" s="255"/>
      <c r="C180" s="255"/>
      <c r="D180" s="254" t="s">
        <v>2</v>
      </c>
      <c r="E180" s="255"/>
      <c r="F180" s="255"/>
      <c r="G180" s="255"/>
      <c r="H180" s="255"/>
      <c r="I180" s="256"/>
    </row>
    <row r="181" spans="1:9" ht="19.5" thickBot="1" x14ac:dyDescent="0.35">
      <c r="A181" s="1" t="s">
        <v>3</v>
      </c>
      <c r="B181" s="257" t="s">
        <v>4</v>
      </c>
      <c r="C181" s="258"/>
      <c r="D181" s="2" t="s">
        <v>5</v>
      </c>
      <c r="E181" s="2" t="s">
        <v>6</v>
      </c>
      <c r="F181" s="2" t="s">
        <v>7</v>
      </c>
      <c r="G181" s="2" t="s">
        <v>8</v>
      </c>
      <c r="H181" s="2" t="s">
        <v>9</v>
      </c>
      <c r="I181" s="207" t="s">
        <v>10</v>
      </c>
    </row>
    <row r="182" spans="1:9" ht="16.5" thickBot="1" x14ac:dyDescent="0.3">
      <c r="A182" s="208">
        <v>9</v>
      </c>
      <c r="B182" s="259" t="s">
        <v>256</v>
      </c>
      <c r="C182" s="259"/>
      <c r="D182" s="208"/>
      <c r="E182" s="208"/>
      <c r="F182" s="206"/>
      <c r="G182" s="208"/>
      <c r="H182" s="206">
        <v>290</v>
      </c>
      <c r="I182" s="185" t="s">
        <v>254</v>
      </c>
    </row>
    <row r="183" spans="1:9" ht="15.75" x14ac:dyDescent="0.25">
      <c r="A183" s="6">
        <v>80</v>
      </c>
      <c r="B183" s="260" t="s">
        <v>258</v>
      </c>
      <c r="C183" s="261"/>
      <c r="D183" s="208"/>
      <c r="E183" s="208"/>
      <c r="F183" s="208"/>
      <c r="G183" s="208"/>
      <c r="H183" s="208">
        <v>450</v>
      </c>
      <c r="I183" s="184" t="s">
        <v>255</v>
      </c>
    </row>
    <row r="184" spans="1:9" ht="15.75" x14ac:dyDescent="0.25">
      <c r="A184" s="6">
        <v>20</v>
      </c>
      <c r="B184" s="245" t="s">
        <v>257</v>
      </c>
      <c r="C184" s="247"/>
      <c r="D184" s="208"/>
      <c r="E184" s="208"/>
      <c r="F184" s="208"/>
      <c r="G184" s="208"/>
      <c r="H184" s="208">
        <v>289</v>
      </c>
      <c r="I184" s="184" t="s">
        <v>175</v>
      </c>
    </row>
    <row r="185" spans="1:9" ht="15.75" x14ac:dyDescent="0.25">
      <c r="A185" s="6"/>
      <c r="B185" s="245"/>
      <c r="C185" s="247"/>
      <c r="D185" s="208"/>
      <c r="E185" s="208"/>
      <c r="F185" s="208">
        <v>30</v>
      </c>
      <c r="G185" s="208"/>
      <c r="H185" s="208"/>
      <c r="I185" s="184" t="s">
        <v>181</v>
      </c>
    </row>
    <row r="186" spans="1:9" ht="15.75" x14ac:dyDescent="0.25">
      <c r="A186" s="6"/>
      <c r="B186" s="245"/>
      <c r="C186" s="247"/>
      <c r="D186" s="208"/>
      <c r="E186" s="208"/>
      <c r="F186" s="208">
        <v>215</v>
      </c>
      <c r="G186" s="208"/>
      <c r="H186" s="208"/>
      <c r="I186" s="184" t="s">
        <v>251</v>
      </c>
    </row>
    <row r="187" spans="1:9" ht="15.75" x14ac:dyDescent="0.25">
      <c r="A187" s="8"/>
      <c r="B187" s="250"/>
      <c r="C187" s="247"/>
      <c r="D187" s="208"/>
      <c r="E187" s="208"/>
      <c r="F187" s="208"/>
      <c r="G187" s="208"/>
      <c r="H187" s="208">
        <v>215</v>
      </c>
      <c r="I187" s="184" t="s">
        <v>251</v>
      </c>
    </row>
    <row r="188" spans="1:9" ht="15.75" x14ac:dyDescent="0.25">
      <c r="A188" s="6"/>
      <c r="B188" s="245"/>
      <c r="C188" s="247"/>
      <c r="D188" s="208"/>
      <c r="E188" s="208"/>
      <c r="F188" s="208"/>
      <c r="G188" s="208"/>
      <c r="H188" s="208">
        <f>2*75</f>
        <v>150</v>
      </c>
      <c r="I188" s="184" t="s">
        <v>260</v>
      </c>
    </row>
    <row r="189" spans="1:9" ht="15.75" x14ac:dyDescent="0.25">
      <c r="A189" s="6"/>
      <c r="B189" s="245"/>
      <c r="C189" s="247"/>
      <c r="D189" s="208"/>
      <c r="E189" s="208"/>
      <c r="F189" s="208"/>
      <c r="G189" s="208"/>
      <c r="H189" s="208"/>
      <c r="I189" s="184"/>
    </row>
    <row r="190" spans="1:9" ht="15.75" x14ac:dyDescent="0.25">
      <c r="A190" s="6"/>
      <c r="B190" s="245"/>
      <c r="C190" s="247"/>
      <c r="D190" s="208"/>
      <c r="E190" s="208"/>
      <c r="F190" s="208"/>
      <c r="G190" s="208"/>
      <c r="H190" s="208"/>
      <c r="I190" s="184"/>
    </row>
    <row r="191" spans="1:9" ht="15.75" x14ac:dyDescent="0.25">
      <c r="A191" s="6"/>
      <c r="B191" s="245"/>
      <c r="C191" s="247"/>
      <c r="D191" s="208"/>
      <c r="E191" s="208"/>
      <c r="F191" s="208"/>
      <c r="G191" s="208"/>
      <c r="H191" s="208"/>
      <c r="I191" s="184"/>
    </row>
    <row r="192" spans="1:9" ht="15.75" x14ac:dyDescent="0.25">
      <c r="A192" s="6"/>
      <c r="B192" s="245"/>
      <c r="C192" s="247"/>
      <c r="D192" s="208"/>
      <c r="E192" s="208"/>
      <c r="F192" s="208"/>
      <c r="G192" s="208"/>
      <c r="H192" s="208"/>
      <c r="I192" s="7"/>
    </row>
    <row r="193" spans="1:9" ht="15.75" x14ac:dyDescent="0.25">
      <c r="A193" s="6"/>
      <c r="B193" s="245"/>
      <c r="C193" s="247"/>
      <c r="D193" s="208"/>
      <c r="E193" s="208"/>
      <c r="F193" s="208"/>
      <c r="G193" s="208"/>
      <c r="H193" s="208"/>
      <c r="I193" s="7"/>
    </row>
    <row r="194" spans="1:9" ht="15.75" x14ac:dyDescent="0.25">
      <c r="A194" s="6"/>
      <c r="B194" s="245"/>
      <c r="C194" s="247"/>
      <c r="D194" s="208"/>
      <c r="E194" s="208"/>
      <c r="F194" s="208"/>
      <c r="G194" s="208"/>
      <c r="H194" s="208"/>
      <c r="I194" s="9"/>
    </row>
    <row r="195" spans="1:9" ht="15.75" x14ac:dyDescent="0.25">
      <c r="A195" s="6"/>
      <c r="B195" s="245"/>
      <c r="C195" s="247"/>
      <c r="D195" s="208"/>
      <c r="E195" s="208"/>
      <c r="F195" s="208"/>
      <c r="G195" s="208"/>
      <c r="H195" s="208"/>
      <c r="I195" s="9"/>
    </row>
    <row r="196" spans="1:9" ht="15.75" x14ac:dyDescent="0.25">
      <c r="A196" s="6"/>
      <c r="B196" s="245"/>
      <c r="C196" s="247"/>
      <c r="D196" s="208"/>
      <c r="E196" s="208"/>
      <c r="F196" s="208"/>
      <c r="G196" s="208"/>
      <c r="H196" s="208"/>
      <c r="I196" s="9"/>
    </row>
    <row r="197" spans="1:9" ht="15.75" x14ac:dyDescent="0.25">
      <c r="A197" s="6"/>
      <c r="B197" s="245"/>
      <c r="C197" s="247"/>
      <c r="D197" s="208"/>
      <c r="E197" s="208"/>
      <c r="F197" s="208"/>
      <c r="G197" s="208"/>
      <c r="H197" s="208"/>
      <c r="I197" s="9"/>
    </row>
    <row r="198" spans="1:9" ht="15.75" x14ac:dyDescent="0.25">
      <c r="A198" s="6"/>
      <c r="B198" s="245"/>
      <c r="C198" s="247"/>
      <c r="D198" s="208"/>
      <c r="E198" s="208"/>
      <c r="F198" s="208"/>
      <c r="G198" s="208"/>
      <c r="H198" s="208"/>
      <c r="I198" s="9"/>
    </row>
    <row r="199" spans="1:9" ht="15.75" x14ac:dyDescent="0.25">
      <c r="A199" s="6"/>
      <c r="B199" s="245"/>
      <c r="C199" s="247"/>
      <c r="D199" s="208"/>
      <c r="E199" s="208"/>
      <c r="F199" s="208"/>
      <c r="G199" s="208"/>
      <c r="H199" s="208"/>
      <c r="I199" s="9"/>
    </row>
    <row r="200" spans="1:9" ht="15.75" x14ac:dyDescent="0.25">
      <c r="A200" s="6"/>
      <c r="B200" s="245"/>
      <c r="C200" s="247"/>
      <c r="D200" s="208"/>
      <c r="E200" s="208"/>
      <c r="F200" s="208"/>
      <c r="G200" s="208"/>
      <c r="H200" s="208"/>
      <c r="I200" s="9"/>
    </row>
    <row r="201" spans="1:9" ht="18.75" x14ac:dyDescent="0.3">
      <c r="A201" s="6"/>
      <c r="B201" s="245"/>
      <c r="C201" s="247"/>
      <c r="D201" s="5"/>
      <c r="E201" s="5"/>
      <c r="F201" s="5"/>
      <c r="G201" s="10"/>
      <c r="H201" s="5"/>
      <c r="I201" s="11"/>
    </row>
    <row r="202" spans="1:9" ht="18.75" x14ac:dyDescent="0.3">
      <c r="A202" s="12"/>
      <c r="B202" s="245"/>
      <c r="C202" s="247"/>
      <c r="D202" s="13"/>
      <c r="E202" s="13"/>
      <c r="F202" s="13"/>
      <c r="G202" s="14"/>
      <c r="H202" s="13"/>
      <c r="I202" s="15"/>
    </row>
    <row r="203" spans="1:9" ht="18.75" x14ac:dyDescent="0.3">
      <c r="A203" s="12"/>
      <c r="B203" s="245"/>
      <c r="C203" s="247"/>
      <c r="D203" s="13"/>
      <c r="E203" s="13"/>
      <c r="F203" s="13"/>
      <c r="G203" s="14"/>
      <c r="H203" s="13"/>
      <c r="I203" s="15"/>
    </row>
    <row r="204" spans="1:9" ht="19.5" thickBot="1" x14ac:dyDescent="0.35">
      <c r="A204" s="12"/>
      <c r="B204" s="248"/>
      <c r="C204" s="249"/>
      <c r="D204" s="16"/>
      <c r="E204" s="16"/>
      <c r="F204" s="16"/>
      <c r="G204" s="14"/>
      <c r="H204" s="16"/>
      <c r="I204" s="15"/>
    </row>
    <row r="205" spans="1:9" ht="16.5" thickBot="1" x14ac:dyDescent="0.3">
      <c r="A205" s="194">
        <f>SUM(A182:A204)</f>
        <v>109</v>
      </c>
      <c r="B205" s="262" t="s">
        <v>211</v>
      </c>
      <c r="C205" s="263"/>
      <c r="D205" s="195">
        <f>SUM(D182:D204)</f>
        <v>0</v>
      </c>
      <c r="E205" s="196">
        <f>SUM(E182:E204)</f>
        <v>0</v>
      </c>
      <c r="F205" s="197">
        <f>SUM(F182:F204)</f>
        <v>245</v>
      </c>
      <c r="G205" s="198">
        <f>SUM(G182:G204)</f>
        <v>0</v>
      </c>
      <c r="H205" s="199">
        <f>SUM(H182:H204)</f>
        <v>1394</v>
      </c>
      <c r="I205" s="200" t="s">
        <v>213</v>
      </c>
    </row>
    <row r="206" spans="1:9" ht="21" thickBot="1" x14ac:dyDescent="0.3">
      <c r="A206" s="264" t="s">
        <v>259</v>
      </c>
      <c r="B206" s="265"/>
      <c r="C206" s="265"/>
      <c r="D206" s="266"/>
      <c r="E206" s="273">
        <f>H205+G205+F205+E205+D205</f>
        <v>1639</v>
      </c>
      <c r="F206" s="274"/>
      <c r="G206" s="274"/>
      <c r="H206" s="275"/>
      <c r="I206" s="209" t="s">
        <v>12</v>
      </c>
    </row>
    <row r="207" spans="1:9" ht="21" thickBot="1" x14ac:dyDescent="0.3">
      <c r="A207" s="267"/>
      <c r="B207" s="268"/>
      <c r="C207" s="268"/>
      <c r="D207" s="269"/>
      <c r="E207" s="273">
        <f>(SUM(H205,G205,F205,E205,D205) - A205)</f>
        <v>1530</v>
      </c>
      <c r="F207" s="274"/>
      <c r="G207" s="274"/>
      <c r="H207" s="275"/>
      <c r="I207" s="209" t="s">
        <v>209</v>
      </c>
    </row>
    <row r="208" spans="1:9" ht="21" thickBot="1" x14ac:dyDescent="0.3">
      <c r="A208" s="267"/>
      <c r="B208" s="268"/>
      <c r="C208" s="268"/>
      <c r="D208" s="269"/>
      <c r="E208" s="273">
        <f>H205-A205</f>
        <v>1285</v>
      </c>
      <c r="F208" s="274"/>
      <c r="G208" s="274"/>
      <c r="H208" s="275"/>
      <c r="I208" s="209" t="s">
        <v>210</v>
      </c>
    </row>
    <row r="209" spans="1:9" ht="21" thickBot="1" x14ac:dyDescent="0.3">
      <c r="A209" s="270"/>
      <c r="B209" s="271"/>
      <c r="C209" s="271"/>
      <c r="D209" s="272"/>
      <c r="E209" s="273">
        <f>4</f>
        <v>4</v>
      </c>
      <c r="F209" s="274"/>
      <c r="G209" s="274"/>
      <c r="H209" s="275"/>
      <c r="I209" s="209" t="s">
        <v>212</v>
      </c>
    </row>
    <row r="223" spans="1:9" ht="15.75" thickBot="1" x14ac:dyDescent="0.3"/>
    <row r="224" spans="1:9" ht="23.25" thickBot="1" x14ac:dyDescent="0.35">
      <c r="A224" s="251" t="s">
        <v>261</v>
      </c>
      <c r="B224" s="252"/>
      <c r="C224" s="252"/>
      <c r="D224" s="252"/>
      <c r="E224" s="252"/>
      <c r="F224" s="252"/>
      <c r="G224" s="252"/>
      <c r="H224" s="252"/>
      <c r="I224" s="253"/>
    </row>
    <row r="225" spans="1:9" ht="19.5" thickBot="1" x14ac:dyDescent="0.35">
      <c r="A225" s="254" t="s">
        <v>1</v>
      </c>
      <c r="B225" s="255"/>
      <c r="C225" s="255"/>
      <c r="D225" s="254" t="s">
        <v>2</v>
      </c>
      <c r="E225" s="255"/>
      <c r="F225" s="255"/>
      <c r="G225" s="255"/>
      <c r="H225" s="255"/>
      <c r="I225" s="256"/>
    </row>
    <row r="226" spans="1:9" ht="19.5" thickBot="1" x14ac:dyDescent="0.35">
      <c r="A226" s="1" t="s">
        <v>3</v>
      </c>
      <c r="B226" s="257" t="s">
        <v>4</v>
      </c>
      <c r="C226" s="258"/>
      <c r="D226" s="2" t="s">
        <v>5</v>
      </c>
      <c r="E226" s="2" t="s">
        <v>6</v>
      </c>
      <c r="F226" s="2" t="s">
        <v>7</v>
      </c>
      <c r="G226" s="2" t="s">
        <v>8</v>
      </c>
      <c r="H226" s="2" t="s">
        <v>9</v>
      </c>
      <c r="I226" s="207" t="s">
        <v>10</v>
      </c>
    </row>
    <row r="227" spans="1:9" ht="16.5" thickBot="1" x14ac:dyDescent="0.3">
      <c r="A227" s="208">
        <v>15</v>
      </c>
      <c r="B227" s="259" t="s">
        <v>155</v>
      </c>
      <c r="C227" s="259"/>
      <c r="D227" s="208"/>
      <c r="E227" s="208"/>
      <c r="F227" s="206"/>
      <c r="G227" s="208"/>
      <c r="H227" s="206">
        <v>480</v>
      </c>
      <c r="I227" s="185" t="s">
        <v>262</v>
      </c>
    </row>
    <row r="228" spans="1:9" ht="15.75" x14ac:dyDescent="0.25">
      <c r="A228" s="6"/>
      <c r="B228" s="260"/>
      <c r="C228" s="261"/>
      <c r="D228" s="208"/>
      <c r="E228" s="208"/>
      <c r="F228" s="208">
        <v>190</v>
      </c>
      <c r="G228" s="208"/>
      <c r="H228" s="208"/>
      <c r="I228" s="184" t="s">
        <v>272</v>
      </c>
    </row>
    <row r="229" spans="1:9" ht="15.75" x14ac:dyDescent="0.25">
      <c r="A229" s="6"/>
      <c r="B229" s="245"/>
      <c r="C229" s="247"/>
      <c r="D229" s="208"/>
      <c r="E229" s="208"/>
      <c r="F229" s="208">
        <v>65</v>
      </c>
      <c r="G229" s="208"/>
      <c r="H229" s="208"/>
      <c r="I229" s="184" t="s">
        <v>263</v>
      </c>
    </row>
    <row r="230" spans="1:9" ht="15.75" x14ac:dyDescent="0.25">
      <c r="A230" s="6"/>
      <c r="B230" s="245"/>
      <c r="C230" s="247"/>
      <c r="D230" s="208"/>
      <c r="E230" s="208"/>
      <c r="F230" s="208"/>
      <c r="G230" s="208"/>
      <c r="H230" s="208">
        <v>215</v>
      </c>
      <c r="I230" s="184" t="s">
        <v>264</v>
      </c>
    </row>
    <row r="231" spans="1:9" ht="15.75" x14ac:dyDescent="0.25">
      <c r="A231" s="6"/>
      <c r="B231" s="245"/>
      <c r="C231" s="247"/>
      <c r="D231" s="208"/>
      <c r="E231" s="208"/>
      <c r="F231" s="208"/>
      <c r="G231" s="208"/>
      <c r="H231" s="208"/>
      <c r="I231" s="184"/>
    </row>
    <row r="232" spans="1:9" ht="15.75" x14ac:dyDescent="0.25">
      <c r="A232" s="8"/>
      <c r="B232" s="250"/>
      <c r="C232" s="247"/>
      <c r="D232" s="208"/>
      <c r="E232" s="208"/>
      <c r="F232" s="208"/>
      <c r="G232" s="208"/>
      <c r="H232" s="208"/>
      <c r="I232" s="184"/>
    </row>
    <row r="233" spans="1:9" ht="15.75" x14ac:dyDescent="0.25">
      <c r="A233" s="6"/>
      <c r="B233" s="245"/>
      <c r="C233" s="247"/>
      <c r="D233" s="208"/>
      <c r="E233" s="208"/>
      <c r="F233" s="208"/>
      <c r="G233" s="208"/>
      <c r="H233" s="208"/>
      <c r="I233" s="184"/>
    </row>
    <row r="234" spans="1:9" ht="15.75" x14ac:dyDescent="0.25">
      <c r="A234" s="6"/>
      <c r="B234" s="245"/>
      <c r="C234" s="247"/>
      <c r="D234" s="208"/>
      <c r="E234" s="208"/>
      <c r="F234" s="208"/>
      <c r="G234" s="208"/>
      <c r="H234" s="208"/>
      <c r="I234" s="184"/>
    </row>
    <row r="235" spans="1:9" ht="15.75" x14ac:dyDescent="0.25">
      <c r="A235" s="6"/>
      <c r="B235" s="245"/>
      <c r="C235" s="247"/>
      <c r="D235" s="208"/>
      <c r="E235" s="208"/>
      <c r="F235" s="208"/>
      <c r="G235" s="208"/>
      <c r="H235" s="208"/>
      <c r="I235" s="184"/>
    </row>
    <row r="236" spans="1:9" ht="15.75" x14ac:dyDescent="0.25">
      <c r="A236" s="6"/>
      <c r="B236" s="245"/>
      <c r="C236" s="247"/>
      <c r="D236" s="208"/>
      <c r="E236" s="208"/>
      <c r="F236" s="208"/>
      <c r="G236" s="208"/>
      <c r="H236" s="208"/>
      <c r="I236" s="184"/>
    </row>
    <row r="237" spans="1:9" ht="15.75" x14ac:dyDescent="0.25">
      <c r="A237" s="6"/>
      <c r="B237" s="245"/>
      <c r="C237" s="247"/>
      <c r="D237" s="208"/>
      <c r="E237" s="208"/>
      <c r="F237" s="208"/>
      <c r="G237" s="208"/>
      <c r="H237" s="208"/>
      <c r="I237" s="7"/>
    </row>
    <row r="238" spans="1:9" ht="15.75" x14ac:dyDescent="0.25">
      <c r="A238" s="6"/>
      <c r="B238" s="245"/>
      <c r="C238" s="247"/>
      <c r="D238" s="208"/>
      <c r="E238" s="208"/>
      <c r="F238" s="208"/>
      <c r="G238" s="208"/>
      <c r="H238" s="208"/>
      <c r="I238" s="7"/>
    </row>
    <row r="239" spans="1:9" ht="15.75" x14ac:dyDescent="0.25">
      <c r="A239" s="6"/>
      <c r="B239" s="245"/>
      <c r="C239" s="247"/>
      <c r="D239" s="208"/>
      <c r="E239" s="208"/>
      <c r="F239" s="208"/>
      <c r="G239" s="208"/>
      <c r="H239" s="208"/>
      <c r="I239" s="9"/>
    </row>
    <row r="240" spans="1:9" ht="15.75" x14ac:dyDescent="0.25">
      <c r="A240" s="6"/>
      <c r="B240" s="245"/>
      <c r="C240" s="247"/>
      <c r="D240" s="208"/>
      <c r="E240" s="208"/>
      <c r="F240" s="208"/>
      <c r="G240" s="208"/>
      <c r="H240" s="208"/>
      <c r="I240" s="9"/>
    </row>
    <row r="241" spans="1:9" ht="15.75" x14ac:dyDescent="0.25">
      <c r="A241" s="6"/>
      <c r="B241" s="245"/>
      <c r="C241" s="247"/>
      <c r="D241" s="208"/>
      <c r="E241" s="208"/>
      <c r="F241" s="208"/>
      <c r="G241" s="208"/>
      <c r="H241" s="208"/>
      <c r="I241" s="9"/>
    </row>
    <row r="242" spans="1:9" ht="15.75" x14ac:dyDescent="0.25">
      <c r="A242" s="6"/>
      <c r="B242" s="245"/>
      <c r="C242" s="247"/>
      <c r="D242" s="208"/>
      <c r="E242" s="208"/>
      <c r="F242" s="208"/>
      <c r="G242" s="208"/>
      <c r="H242" s="208"/>
      <c r="I242" s="9"/>
    </row>
    <row r="243" spans="1:9" ht="15.75" x14ac:dyDescent="0.25">
      <c r="A243" s="6"/>
      <c r="B243" s="245"/>
      <c r="C243" s="247"/>
      <c r="D243" s="208"/>
      <c r="E243" s="208"/>
      <c r="F243" s="208"/>
      <c r="G243" s="208"/>
      <c r="H243" s="208"/>
      <c r="I243" s="9"/>
    </row>
    <row r="244" spans="1:9" ht="15.75" x14ac:dyDescent="0.25">
      <c r="A244" s="6"/>
      <c r="B244" s="245"/>
      <c r="C244" s="247"/>
      <c r="D244" s="208"/>
      <c r="E244" s="208"/>
      <c r="F244" s="208"/>
      <c r="G244" s="208"/>
      <c r="H244" s="208"/>
      <c r="I244" s="9"/>
    </row>
    <row r="245" spans="1:9" ht="15.75" x14ac:dyDescent="0.25">
      <c r="A245" s="6"/>
      <c r="B245" s="245"/>
      <c r="C245" s="247"/>
      <c r="D245" s="208"/>
      <c r="E245" s="208"/>
      <c r="F245" s="208"/>
      <c r="G245" s="208"/>
      <c r="H245" s="208"/>
      <c r="I245" s="9"/>
    </row>
    <row r="246" spans="1:9" ht="18.75" x14ac:dyDescent="0.3">
      <c r="A246" s="6"/>
      <c r="B246" s="245"/>
      <c r="C246" s="247"/>
      <c r="D246" s="5"/>
      <c r="E246" s="5"/>
      <c r="F246" s="5"/>
      <c r="G246" s="10"/>
      <c r="H246" s="5"/>
      <c r="I246" s="11"/>
    </row>
    <row r="247" spans="1:9" ht="18.75" x14ac:dyDescent="0.3">
      <c r="A247" s="12"/>
      <c r="B247" s="245"/>
      <c r="C247" s="247"/>
      <c r="D247" s="13"/>
      <c r="E247" s="13"/>
      <c r="F247" s="13"/>
      <c r="G247" s="14"/>
      <c r="H247" s="13"/>
      <c r="I247" s="15"/>
    </row>
    <row r="248" spans="1:9" ht="18.75" x14ac:dyDescent="0.3">
      <c r="A248" s="12"/>
      <c r="B248" s="245"/>
      <c r="C248" s="247"/>
      <c r="D248" s="13"/>
      <c r="E248" s="13"/>
      <c r="F248" s="13"/>
      <c r="G248" s="14"/>
      <c r="H248" s="13"/>
      <c r="I248" s="15"/>
    </row>
    <row r="249" spans="1:9" ht="19.5" thickBot="1" x14ac:dyDescent="0.35">
      <c r="A249" s="12"/>
      <c r="B249" s="248"/>
      <c r="C249" s="249"/>
      <c r="D249" s="16"/>
      <c r="E249" s="16"/>
      <c r="F249" s="16"/>
      <c r="G249" s="14"/>
      <c r="H249" s="16"/>
      <c r="I249" s="15"/>
    </row>
    <row r="250" spans="1:9" ht="16.5" thickBot="1" x14ac:dyDescent="0.3">
      <c r="A250" s="194">
        <f>SUM(A227:A249)</f>
        <v>15</v>
      </c>
      <c r="B250" s="262" t="s">
        <v>211</v>
      </c>
      <c r="C250" s="263"/>
      <c r="D250" s="195">
        <f>SUM(D227:D249)</f>
        <v>0</v>
      </c>
      <c r="E250" s="196">
        <f>SUM(E227:E249)</f>
        <v>0</v>
      </c>
      <c r="F250" s="197">
        <f>SUM(F227:F249)</f>
        <v>255</v>
      </c>
      <c r="G250" s="198">
        <f>SUM(G227:G249)</f>
        <v>0</v>
      </c>
      <c r="H250" s="199">
        <f>SUM(H227:H249)</f>
        <v>695</v>
      </c>
      <c r="I250" s="200" t="s">
        <v>213</v>
      </c>
    </row>
    <row r="251" spans="1:9" ht="21" thickBot="1" x14ac:dyDescent="0.3">
      <c r="A251" s="264"/>
      <c r="B251" s="265"/>
      <c r="C251" s="265"/>
      <c r="D251" s="266"/>
      <c r="E251" s="273">
        <f>H250+G250+F250+E250+D250</f>
        <v>950</v>
      </c>
      <c r="F251" s="274"/>
      <c r="G251" s="274"/>
      <c r="H251" s="275"/>
      <c r="I251" s="209" t="s">
        <v>12</v>
      </c>
    </row>
    <row r="252" spans="1:9" ht="21" thickBot="1" x14ac:dyDescent="0.3">
      <c r="A252" s="267"/>
      <c r="B252" s="268"/>
      <c r="C252" s="268"/>
      <c r="D252" s="269"/>
      <c r="E252" s="273">
        <f>(SUM(H250,G250,F250,E250,D250) - A250)</f>
        <v>935</v>
      </c>
      <c r="F252" s="274"/>
      <c r="G252" s="274"/>
      <c r="H252" s="275"/>
      <c r="I252" s="209" t="s">
        <v>209</v>
      </c>
    </row>
    <row r="253" spans="1:9" ht="21" thickBot="1" x14ac:dyDescent="0.3">
      <c r="A253" s="267"/>
      <c r="B253" s="268"/>
      <c r="C253" s="268"/>
      <c r="D253" s="269"/>
      <c r="E253" s="273">
        <f>H250-A250</f>
        <v>680</v>
      </c>
      <c r="F253" s="274"/>
      <c r="G253" s="274"/>
      <c r="H253" s="275"/>
      <c r="I253" s="209" t="s">
        <v>210</v>
      </c>
    </row>
    <row r="254" spans="1:9" ht="21" thickBot="1" x14ac:dyDescent="0.3">
      <c r="A254" s="270"/>
      <c r="B254" s="271"/>
      <c r="C254" s="271"/>
      <c r="D254" s="272"/>
      <c r="E254" s="273">
        <v>4</v>
      </c>
      <c r="F254" s="274"/>
      <c r="G254" s="274"/>
      <c r="H254" s="275"/>
      <c r="I254" s="209" t="s">
        <v>212</v>
      </c>
    </row>
    <row r="268" spans="1:9" ht="15.75" thickBot="1" x14ac:dyDescent="0.3"/>
    <row r="269" spans="1:9" ht="23.25" thickBot="1" x14ac:dyDescent="0.35">
      <c r="A269" s="251" t="s">
        <v>265</v>
      </c>
      <c r="B269" s="252"/>
      <c r="C269" s="252"/>
      <c r="D269" s="252"/>
      <c r="E269" s="252"/>
      <c r="F269" s="252"/>
      <c r="G269" s="252"/>
      <c r="H269" s="252"/>
      <c r="I269" s="253"/>
    </row>
    <row r="270" spans="1:9" ht="19.5" thickBot="1" x14ac:dyDescent="0.35">
      <c r="A270" s="254" t="s">
        <v>1</v>
      </c>
      <c r="B270" s="255"/>
      <c r="C270" s="255"/>
      <c r="D270" s="254" t="s">
        <v>2</v>
      </c>
      <c r="E270" s="255"/>
      <c r="F270" s="255"/>
      <c r="G270" s="255"/>
      <c r="H270" s="255"/>
      <c r="I270" s="256"/>
    </row>
    <row r="271" spans="1:9" ht="19.5" thickBot="1" x14ac:dyDescent="0.35">
      <c r="A271" s="1" t="s">
        <v>3</v>
      </c>
      <c r="B271" s="257" t="s">
        <v>4</v>
      </c>
      <c r="C271" s="258"/>
      <c r="D271" s="2" t="s">
        <v>5</v>
      </c>
      <c r="E271" s="2" t="s">
        <v>6</v>
      </c>
      <c r="F271" s="2" t="s">
        <v>7</v>
      </c>
      <c r="G271" s="2" t="s">
        <v>8</v>
      </c>
      <c r="H271" s="2" t="s">
        <v>9</v>
      </c>
      <c r="I271" s="211" t="s">
        <v>10</v>
      </c>
    </row>
    <row r="272" spans="1:9" ht="16.5" thickBot="1" x14ac:dyDescent="0.3">
      <c r="A272" s="212">
        <f>4*25+15*2</f>
        <v>130</v>
      </c>
      <c r="B272" s="259" t="s">
        <v>218</v>
      </c>
      <c r="C272" s="259"/>
      <c r="D272" s="212"/>
      <c r="E272" s="212"/>
      <c r="F272" s="210"/>
      <c r="G272" s="212"/>
      <c r="H272" s="210">
        <v>200</v>
      </c>
      <c r="I272" s="185" t="s">
        <v>266</v>
      </c>
    </row>
    <row r="273" spans="1:9" ht="15.75" x14ac:dyDescent="0.25">
      <c r="A273" s="6"/>
      <c r="B273" s="260"/>
      <c r="C273" s="261"/>
      <c r="D273" s="212"/>
      <c r="E273" s="212"/>
      <c r="F273" s="212">
        <v>1000</v>
      </c>
      <c r="G273" s="212"/>
      <c r="H273" s="212"/>
      <c r="I273" s="214" t="s">
        <v>273</v>
      </c>
    </row>
    <row r="274" spans="1:9" ht="15.75" x14ac:dyDescent="0.25">
      <c r="A274" s="6"/>
      <c r="B274" s="245"/>
      <c r="C274" s="247"/>
      <c r="D274" s="212"/>
      <c r="E274" s="212"/>
      <c r="F274" s="212">
        <v>70</v>
      </c>
      <c r="G274" s="212"/>
      <c r="H274" s="212">
        <f>605-70</f>
        <v>535</v>
      </c>
      <c r="I274" s="184" t="s">
        <v>267</v>
      </c>
    </row>
    <row r="275" spans="1:9" ht="15.75" x14ac:dyDescent="0.25">
      <c r="A275" s="6"/>
      <c r="B275" s="245"/>
      <c r="C275" s="247"/>
      <c r="D275" s="212"/>
      <c r="E275" s="212"/>
      <c r="F275" s="212">
        <v>295</v>
      </c>
      <c r="G275" s="212"/>
      <c r="H275" s="212"/>
      <c r="I275" s="184" t="s">
        <v>268</v>
      </c>
    </row>
    <row r="276" spans="1:9" ht="15.75" x14ac:dyDescent="0.25">
      <c r="A276" s="6"/>
      <c r="B276" s="245"/>
      <c r="C276" s="247"/>
      <c r="D276" s="212"/>
      <c r="E276" s="212"/>
      <c r="F276" s="212">
        <v>200</v>
      </c>
      <c r="H276" s="212"/>
      <c r="I276" s="184" t="s">
        <v>269</v>
      </c>
    </row>
    <row r="277" spans="1:9" ht="15.75" x14ac:dyDescent="0.25">
      <c r="A277" s="8"/>
      <c r="B277" s="250"/>
      <c r="C277" s="247"/>
      <c r="D277" s="212"/>
      <c r="E277" s="212"/>
      <c r="F277" s="212">
        <v>50</v>
      </c>
      <c r="G277" s="212"/>
      <c r="H277" s="212"/>
      <c r="I277" s="184" t="s">
        <v>270</v>
      </c>
    </row>
    <row r="278" spans="1:9" ht="15.75" x14ac:dyDescent="0.25">
      <c r="A278" s="6"/>
      <c r="B278" s="245"/>
      <c r="C278" s="247"/>
      <c r="D278" s="212"/>
      <c r="E278" s="212"/>
      <c r="F278" s="212"/>
      <c r="G278" s="212"/>
      <c r="H278" s="212">
        <v>5</v>
      </c>
      <c r="I278" s="184" t="s">
        <v>271</v>
      </c>
    </row>
    <row r="279" spans="1:9" ht="15.75" x14ac:dyDescent="0.25">
      <c r="A279" s="6"/>
      <c r="B279" s="245"/>
      <c r="C279" s="247"/>
      <c r="D279" s="212"/>
      <c r="E279" s="212"/>
      <c r="F279" s="212"/>
      <c r="G279" s="212"/>
      <c r="H279" s="212"/>
      <c r="I279" s="184" t="s">
        <v>277</v>
      </c>
    </row>
    <row r="280" spans="1:9" ht="15.75" x14ac:dyDescent="0.25">
      <c r="A280" s="6"/>
      <c r="B280" s="245"/>
      <c r="C280" s="247"/>
      <c r="D280" s="212"/>
      <c r="E280" s="212"/>
      <c r="F280" s="212"/>
      <c r="G280" s="212"/>
      <c r="H280" s="212"/>
      <c r="I280" s="184"/>
    </row>
    <row r="281" spans="1:9" ht="15.75" x14ac:dyDescent="0.25">
      <c r="A281" s="6"/>
      <c r="B281" s="245"/>
      <c r="C281" s="247"/>
      <c r="D281" s="212"/>
      <c r="E281" s="212"/>
      <c r="F281" s="212"/>
      <c r="G281" s="212"/>
      <c r="H281" s="212"/>
      <c r="I281" s="184"/>
    </row>
    <row r="282" spans="1:9" ht="15.75" x14ac:dyDescent="0.25">
      <c r="A282" s="6"/>
      <c r="B282" s="245"/>
      <c r="C282" s="247"/>
      <c r="D282" s="212"/>
      <c r="E282" s="212"/>
      <c r="F282" s="212"/>
      <c r="G282" s="212"/>
      <c r="H282" s="212"/>
      <c r="I282" s="7"/>
    </row>
    <row r="283" spans="1:9" ht="15.75" x14ac:dyDescent="0.25">
      <c r="A283" s="6"/>
      <c r="B283" s="245"/>
      <c r="C283" s="247"/>
      <c r="D283" s="212"/>
      <c r="E283" s="212"/>
      <c r="F283" s="212"/>
      <c r="G283" s="212"/>
      <c r="H283" s="212"/>
      <c r="I283" s="7"/>
    </row>
    <row r="284" spans="1:9" ht="15.75" x14ac:dyDescent="0.25">
      <c r="A284" s="6"/>
      <c r="B284" s="245"/>
      <c r="C284" s="247"/>
      <c r="D284" s="212"/>
      <c r="E284" s="212"/>
      <c r="F284" s="212"/>
      <c r="G284" s="212"/>
      <c r="H284" s="212"/>
      <c r="I284" s="9"/>
    </row>
    <row r="285" spans="1:9" ht="15.75" x14ac:dyDescent="0.25">
      <c r="A285" s="6"/>
      <c r="B285" s="245"/>
      <c r="C285" s="247"/>
      <c r="D285" s="212"/>
      <c r="E285" s="212"/>
      <c r="F285" s="212"/>
      <c r="G285" s="212"/>
      <c r="H285" s="212"/>
      <c r="I285" s="9"/>
    </row>
    <row r="286" spans="1:9" ht="15.75" x14ac:dyDescent="0.25">
      <c r="A286" s="6"/>
      <c r="B286" s="245"/>
      <c r="C286" s="247"/>
      <c r="D286" s="212"/>
      <c r="E286" s="212"/>
      <c r="F286" s="212"/>
      <c r="G286" s="212"/>
      <c r="H286" s="212"/>
      <c r="I286" s="9"/>
    </row>
    <row r="287" spans="1:9" ht="15.75" x14ac:dyDescent="0.25">
      <c r="A287" s="6"/>
      <c r="B287" s="245"/>
      <c r="C287" s="247"/>
      <c r="D287" s="212"/>
      <c r="E287" s="212"/>
      <c r="F287" s="212"/>
      <c r="G287" s="212"/>
      <c r="H287" s="212"/>
      <c r="I287" s="9"/>
    </row>
    <row r="288" spans="1:9" ht="15.75" x14ac:dyDescent="0.25">
      <c r="A288" s="6"/>
      <c r="B288" s="245"/>
      <c r="C288" s="247"/>
      <c r="D288" s="212"/>
      <c r="E288" s="212"/>
      <c r="F288" s="212"/>
      <c r="G288" s="212"/>
      <c r="H288" s="212"/>
      <c r="I288" s="9"/>
    </row>
    <row r="289" spans="1:9" ht="15.75" x14ac:dyDescent="0.25">
      <c r="A289" s="6"/>
      <c r="B289" s="245"/>
      <c r="C289" s="247"/>
      <c r="D289" s="212"/>
      <c r="E289" s="212"/>
      <c r="F289" s="212"/>
      <c r="G289" s="212"/>
      <c r="H289" s="212"/>
      <c r="I289" s="9"/>
    </row>
    <row r="290" spans="1:9" ht="15.75" x14ac:dyDescent="0.25">
      <c r="A290" s="6"/>
      <c r="B290" s="245"/>
      <c r="C290" s="247"/>
      <c r="D290" s="212"/>
      <c r="E290" s="212"/>
      <c r="F290" s="212"/>
      <c r="G290" s="212"/>
      <c r="H290" s="212"/>
      <c r="I290" s="9"/>
    </row>
    <row r="291" spans="1:9" ht="18.75" x14ac:dyDescent="0.3">
      <c r="A291" s="6"/>
      <c r="B291" s="245"/>
      <c r="C291" s="247"/>
      <c r="D291" s="5"/>
      <c r="E291" s="5"/>
      <c r="F291" s="5"/>
      <c r="G291" s="10"/>
      <c r="H291" s="5"/>
      <c r="I291" s="11"/>
    </row>
    <row r="292" spans="1:9" ht="18.75" x14ac:dyDescent="0.3">
      <c r="A292" s="12"/>
      <c r="B292" s="245"/>
      <c r="C292" s="247"/>
      <c r="D292" s="13"/>
      <c r="E292" s="13"/>
      <c r="F292" s="13"/>
      <c r="G292" s="14"/>
      <c r="H292" s="13"/>
      <c r="I292" s="15"/>
    </row>
    <row r="293" spans="1:9" ht="18.75" x14ac:dyDescent="0.3">
      <c r="A293" s="12"/>
      <c r="B293" s="245"/>
      <c r="C293" s="247"/>
      <c r="D293" s="13"/>
      <c r="E293" s="13"/>
      <c r="F293" s="13"/>
      <c r="G293" s="14"/>
      <c r="H293" s="13"/>
      <c r="I293" s="15"/>
    </row>
    <row r="294" spans="1:9" ht="19.5" thickBot="1" x14ac:dyDescent="0.35">
      <c r="A294" s="12"/>
      <c r="B294" s="248"/>
      <c r="C294" s="249"/>
      <c r="D294" s="16"/>
      <c r="E294" s="16"/>
      <c r="F294" s="16"/>
      <c r="G294" s="14"/>
      <c r="H294" s="16"/>
      <c r="I294" s="15"/>
    </row>
    <row r="295" spans="1:9" ht="16.5" thickBot="1" x14ac:dyDescent="0.3">
      <c r="A295" s="194">
        <f>SUM(A272:A294)</f>
        <v>130</v>
      </c>
      <c r="B295" s="262" t="s">
        <v>211</v>
      </c>
      <c r="C295" s="263"/>
      <c r="D295" s="195">
        <f>SUM(D272:D294)</f>
        <v>0</v>
      </c>
      <c r="E295" s="196">
        <f>SUM(E272:E294)</f>
        <v>0</v>
      </c>
      <c r="F295" s="197">
        <f>SUM(F272:F294)</f>
        <v>1615</v>
      </c>
      <c r="G295" s="198">
        <f>SUM(G272:G294)</f>
        <v>0</v>
      </c>
      <c r="H295" s="199">
        <f>SUM(H272:H294)</f>
        <v>740</v>
      </c>
      <c r="I295" s="200" t="s">
        <v>213</v>
      </c>
    </row>
    <row r="296" spans="1:9" ht="21" thickBot="1" x14ac:dyDescent="0.3">
      <c r="A296" s="264" t="s">
        <v>278</v>
      </c>
      <c r="B296" s="265"/>
      <c r="C296" s="265"/>
      <c r="D296" s="266"/>
      <c r="E296" s="273">
        <f>H295+G295+F295+E295+D295</f>
        <v>2355</v>
      </c>
      <c r="F296" s="274"/>
      <c r="G296" s="274"/>
      <c r="H296" s="275"/>
      <c r="I296" s="213" t="s">
        <v>12</v>
      </c>
    </row>
    <row r="297" spans="1:9" ht="21" thickBot="1" x14ac:dyDescent="0.3">
      <c r="A297" s="267"/>
      <c r="B297" s="268"/>
      <c r="C297" s="268"/>
      <c r="D297" s="269"/>
      <c r="E297" s="273">
        <f>(SUM(H295,G295,F295,E295,D295) - A295)</f>
        <v>2225</v>
      </c>
      <c r="F297" s="274"/>
      <c r="G297" s="274"/>
      <c r="H297" s="275"/>
      <c r="I297" s="213" t="s">
        <v>209</v>
      </c>
    </row>
    <row r="298" spans="1:9" ht="21" thickBot="1" x14ac:dyDescent="0.3">
      <c r="A298" s="267"/>
      <c r="B298" s="268"/>
      <c r="C298" s="268"/>
      <c r="D298" s="269"/>
      <c r="E298" s="273">
        <f>H295-A295</f>
        <v>610</v>
      </c>
      <c r="F298" s="274"/>
      <c r="G298" s="274"/>
      <c r="H298" s="275"/>
      <c r="I298" s="213" t="s">
        <v>210</v>
      </c>
    </row>
    <row r="299" spans="1:9" ht="21" thickBot="1" x14ac:dyDescent="0.3">
      <c r="A299" s="270"/>
      <c r="B299" s="271"/>
      <c r="C299" s="271"/>
      <c r="D299" s="272"/>
      <c r="E299" s="273">
        <v>7</v>
      </c>
      <c r="F299" s="274"/>
      <c r="G299" s="274"/>
      <c r="H299" s="275"/>
      <c r="I299" s="213" t="s">
        <v>212</v>
      </c>
    </row>
    <row r="313" spans="1:9" ht="15.75" thickBot="1" x14ac:dyDescent="0.3"/>
    <row r="314" spans="1:9" ht="23.25" thickBot="1" x14ac:dyDescent="0.35">
      <c r="A314" s="251" t="s">
        <v>293</v>
      </c>
      <c r="B314" s="252"/>
      <c r="C314" s="252"/>
      <c r="D314" s="252"/>
      <c r="E314" s="252"/>
      <c r="F314" s="252"/>
      <c r="G314" s="252"/>
      <c r="H314" s="252"/>
      <c r="I314" s="253"/>
    </row>
    <row r="315" spans="1:9" ht="19.5" thickBot="1" x14ac:dyDescent="0.35">
      <c r="A315" s="254" t="s">
        <v>1</v>
      </c>
      <c r="B315" s="255"/>
      <c r="C315" s="255"/>
      <c r="D315" s="254" t="s">
        <v>2</v>
      </c>
      <c r="E315" s="255"/>
      <c r="F315" s="255"/>
      <c r="G315" s="255"/>
      <c r="H315" s="255"/>
      <c r="I315" s="256"/>
    </row>
    <row r="316" spans="1:9" ht="19.5" thickBot="1" x14ac:dyDescent="0.35">
      <c r="A316" s="1" t="s">
        <v>3</v>
      </c>
      <c r="B316" s="257" t="s">
        <v>4</v>
      </c>
      <c r="C316" s="258"/>
      <c r="D316" s="2" t="s">
        <v>5</v>
      </c>
      <c r="E316" s="2" t="s">
        <v>6</v>
      </c>
      <c r="F316" s="2" t="s">
        <v>7</v>
      </c>
      <c r="G316" s="2" t="s">
        <v>8</v>
      </c>
      <c r="H316" s="2" t="s">
        <v>9</v>
      </c>
      <c r="I316" s="216" t="s">
        <v>10</v>
      </c>
    </row>
    <row r="317" spans="1:9" ht="16.5" thickBot="1" x14ac:dyDescent="0.3">
      <c r="A317" s="6">
        <v>30</v>
      </c>
      <c r="B317" s="260" t="s">
        <v>282</v>
      </c>
      <c r="C317" s="261"/>
      <c r="D317" s="217"/>
      <c r="E317" s="217"/>
      <c r="F317" s="215"/>
      <c r="G317" s="217"/>
      <c r="H317" s="215">
        <v>330</v>
      </c>
      <c r="I317" s="185" t="s">
        <v>275</v>
      </c>
    </row>
    <row r="318" spans="1:9" ht="15.75" x14ac:dyDescent="0.25">
      <c r="A318" s="6">
        <v>30</v>
      </c>
      <c r="B318" s="260" t="s">
        <v>48</v>
      </c>
      <c r="C318" s="261"/>
      <c r="D318" s="217"/>
      <c r="E318" s="217"/>
      <c r="F318" s="217"/>
      <c r="G318" s="217"/>
      <c r="H318" s="217">
        <v>195</v>
      </c>
      <c r="I318" s="184" t="s">
        <v>274</v>
      </c>
    </row>
    <row r="319" spans="1:9" ht="15.75" x14ac:dyDescent="0.25">
      <c r="A319" s="6">
        <f>6*25</f>
        <v>150</v>
      </c>
      <c r="B319" s="245" t="s">
        <v>281</v>
      </c>
      <c r="C319" s="247"/>
      <c r="D319" s="219">
        <v>6</v>
      </c>
      <c r="E319" s="217"/>
      <c r="F319" s="217"/>
      <c r="G319" s="217"/>
      <c r="H319" s="217"/>
      <c r="I319" s="184" t="s">
        <v>276</v>
      </c>
    </row>
    <row r="320" spans="1:9" ht="15.75" x14ac:dyDescent="0.25">
      <c r="A320" s="6"/>
      <c r="B320" s="245"/>
      <c r="C320" s="247"/>
      <c r="D320" s="217"/>
      <c r="E320" s="217"/>
      <c r="F320" s="219">
        <f>290*2</f>
        <v>580</v>
      </c>
      <c r="G320" s="217"/>
      <c r="H320" s="217"/>
      <c r="I320" s="184" t="s">
        <v>279</v>
      </c>
    </row>
    <row r="321" spans="1:11" ht="15.75" x14ac:dyDescent="0.25">
      <c r="A321" s="6"/>
      <c r="B321" s="245"/>
      <c r="C321" s="247"/>
      <c r="D321" s="217"/>
      <c r="E321" s="217"/>
      <c r="F321" s="217">
        <v>25</v>
      </c>
      <c r="H321" s="217">
        <v>500</v>
      </c>
      <c r="I321" s="184" t="s">
        <v>25</v>
      </c>
    </row>
    <row r="322" spans="1:11" ht="15.75" x14ac:dyDescent="0.25">
      <c r="A322" s="8"/>
      <c r="B322" s="250"/>
      <c r="C322" s="247"/>
      <c r="D322" s="217"/>
      <c r="E322" s="217"/>
      <c r="F322" s="217">
        <v>240</v>
      </c>
      <c r="G322" s="217"/>
      <c r="H322" s="217"/>
      <c r="I322" s="184" t="s">
        <v>280</v>
      </c>
    </row>
    <row r="323" spans="1:11" ht="15.75" x14ac:dyDescent="0.25">
      <c r="A323" s="6"/>
      <c r="B323" s="245"/>
      <c r="C323" s="247"/>
      <c r="D323" s="217"/>
      <c r="E323" s="217"/>
      <c r="F323" s="217"/>
      <c r="G323" s="217"/>
      <c r="H323" s="217"/>
      <c r="I323" s="184"/>
    </row>
    <row r="324" spans="1:11" ht="15.75" x14ac:dyDescent="0.25">
      <c r="A324" s="6"/>
      <c r="B324" s="245"/>
      <c r="C324" s="247"/>
      <c r="D324" s="217"/>
      <c r="E324" s="217"/>
      <c r="F324" s="217"/>
      <c r="G324" s="217"/>
      <c r="H324" s="217"/>
      <c r="I324" s="184"/>
      <c r="K324" t="s">
        <v>151</v>
      </c>
    </row>
    <row r="325" spans="1:11" ht="15.75" x14ac:dyDescent="0.25">
      <c r="A325" s="6"/>
      <c r="B325" s="245"/>
      <c r="C325" s="247"/>
      <c r="D325" s="217"/>
      <c r="E325" s="217"/>
      <c r="F325" s="217"/>
      <c r="G325" s="217"/>
      <c r="H325" s="217"/>
      <c r="I325" s="184"/>
    </row>
    <row r="326" spans="1:11" ht="15.75" x14ac:dyDescent="0.25">
      <c r="A326" s="6"/>
      <c r="B326" s="245"/>
      <c r="C326" s="247"/>
      <c r="D326" s="217"/>
      <c r="E326" s="217"/>
      <c r="F326" s="217"/>
      <c r="G326" s="217"/>
      <c r="H326" s="217"/>
      <c r="I326" s="184"/>
    </row>
    <row r="327" spans="1:11" ht="15.75" x14ac:dyDescent="0.25">
      <c r="A327" s="6"/>
      <c r="B327" s="245"/>
      <c r="C327" s="247"/>
      <c r="D327" s="217"/>
      <c r="E327" s="217"/>
      <c r="F327" s="217"/>
      <c r="G327" s="217"/>
      <c r="H327" s="217"/>
      <c r="I327" s="7"/>
    </row>
    <row r="328" spans="1:11" ht="15.75" x14ac:dyDescent="0.25">
      <c r="A328" s="6"/>
      <c r="B328" s="245"/>
      <c r="C328" s="247"/>
      <c r="D328" s="217"/>
      <c r="E328" s="217"/>
      <c r="F328" s="217"/>
      <c r="G328" s="217"/>
      <c r="H328" s="217"/>
      <c r="I328" s="7"/>
    </row>
    <row r="329" spans="1:11" ht="15.75" x14ac:dyDescent="0.25">
      <c r="A329" s="6"/>
      <c r="B329" s="245"/>
      <c r="C329" s="247"/>
      <c r="D329" s="217"/>
      <c r="E329" s="217"/>
      <c r="F329" s="217"/>
      <c r="G329" s="217"/>
      <c r="H329" s="217"/>
      <c r="I329" s="9"/>
    </row>
    <row r="330" spans="1:11" ht="15.75" x14ac:dyDescent="0.25">
      <c r="A330" s="6"/>
      <c r="B330" s="245"/>
      <c r="C330" s="247"/>
      <c r="D330" s="217"/>
      <c r="E330" s="217"/>
      <c r="F330" s="217"/>
      <c r="G330" s="217"/>
      <c r="H330" s="217"/>
      <c r="I330" s="9"/>
    </row>
    <row r="331" spans="1:11" ht="15.75" x14ac:dyDescent="0.25">
      <c r="A331" s="6"/>
      <c r="B331" s="245"/>
      <c r="C331" s="247"/>
      <c r="D331" s="217"/>
      <c r="E331" s="217"/>
      <c r="F331" s="217"/>
      <c r="G331" s="217"/>
      <c r="H331" s="217"/>
      <c r="I331" s="9"/>
    </row>
    <row r="332" spans="1:11" ht="15.75" x14ac:dyDescent="0.25">
      <c r="A332" s="6"/>
      <c r="B332" s="245"/>
      <c r="C332" s="247"/>
      <c r="D332" s="217"/>
      <c r="E332" s="217"/>
      <c r="F332" s="217"/>
      <c r="G332" s="217"/>
      <c r="H332" s="217"/>
      <c r="I332" s="9"/>
    </row>
    <row r="333" spans="1:11" ht="15.75" x14ac:dyDescent="0.25">
      <c r="A333" s="6"/>
      <c r="B333" s="245"/>
      <c r="C333" s="247"/>
      <c r="D333" s="217"/>
      <c r="E333" s="217"/>
      <c r="F333" s="217"/>
      <c r="G333" s="217"/>
      <c r="H333" s="217"/>
      <c r="I333" s="9"/>
    </row>
    <row r="334" spans="1:11" ht="15.75" x14ac:dyDescent="0.25">
      <c r="A334" s="6"/>
      <c r="B334" s="245"/>
      <c r="C334" s="247"/>
      <c r="D334" s="217"/>
      <c r="E334" s="217"/>
      <c r="F334" s="217"/>
      <c r="G334" s="217" t="s">
        <v>151</v>
      </c>
      <c r="H334" s="217"/>
      <c r="I334" s="9"/>
    </row>
    <row r="335" spans="1:11" ht="15.75" x14ac:dyDescent="0.25">
      <c r="A335" s="6"/>
      <c r="B335" s="245"/>
      <c r="C335" s="247"/>
      <c r="D335" s="217"/>
      <c r="E335" s="217"/>
      <c r="F335" s="217"/>
      <c r="G335" s="217"/>
      <c r="H335" s="217"/>
      <c r="I335" s="9"/>
    </row>
    <row r="336" spans="1:11" ht="18.75" x14ac:dyDescent="0.3">
      <c r="A336" s="6"/>
      <c r="B336" s="245"/>
      <c r="C336" s="247"/>
      <c r="D336" s="5"/>
      <c r="E336" s="5"/>
      <c r="F336" s="5"/>
      <c r="G336" s="10"/>
      <c r="H336" s="5"/>
      <c r="I336" s="11"/>
    </row>
    <row r="337" spans="1:9" ht="18.75" x14ac:dyDescent="0.3">
      <c r="A337" s="12"/>
      <c r="B337" s="245"/>
      <c r="C337" s="247"/>
      <c r="D337" s="13"/>
      <c r="E337" s="13"/>
      <c r="F337" s="13"/>
      <c r="G337" s="14"/>
      <c r="H337" s="13"/>
      <c r="I337" s="15"/>
    </row>
    <row r="338" spans="1:9" ht="18.75" x14ac:dyDescent="0.3">
      <c r="A338" s="12"/>
      <c r="B338" s="245"/>
      <c r="C338" s="247"/>
      <c r="D338" s="13"/>
      <c r="E338" s="13"/>
      <c r="F338" s="13"/>
      <c r="G338" s="14"/>
      <c r="H338" s="13"/>
      <c r="I338" s="15"/>
    </row>
    <row r="339" spans="1:9" ht="19.5" thickBot="1" x14ac:dyDescent="0.35">
      <c r="A339" s="12"/>
      <c r="B339" s="248"/>
      <c r="C339" s="249"/>
      <c r="D339" s="16"/>
      <c r="E339" s="16"/>
      <c r="F339" s="16"/>
      <c r="G339" s="14"/>
      <c r="H339" s="16"/>
      <c r="I339" s="15"/>
    </row>
    <row r="340" spans="1:9" ht="16.5" thickBot="1" x14ac:dyDescent="0.3">
      <c r="A340" s="194">
        <f>SUM(A317:A339)</f>
        <v>210</v>
      </c>
      <c r="B340" s="262" t="s">
        <v>211</v>
      </c>
      <c r="C340" s="263"/>
      <c r="D340" s="195">
        <f>SUM(D317:D339)</f>
        <v>6</v>
      </c>
      <c r="E340" s="196">
        <f>SUM(E317:E339)</f>
        <v>0</v>
      </c>
      <c r="F340" s="197">
        <f>SUM(F317:F339)</f>
        <v>845</v>
      </c>
      <c r="G340" s="198">
        <f>SUM(G317:G339)</f>
        <v>0</v>
      </c>
      <c r="H340" s="199">
        <f>SUM(H317:H339)</f>
        <v>1025</v>
      </c>
      <c r="I340" s="200" t="s">
        <v>213</v>
      </c>
    </row>
    <row r="341" spans="1:9" ht="21" thickBot="1" x14ac:dyDescent="0.3">
      <c r="A341" s="264"/>
      <c r="B341" s="265"/>
      <c r="C341" s="265"/>
      <c r="D341" s="266"/>
      <c r="E341" s="273">
        <f>H340+G340+F340+E340+D340</f>
        <v>1876</v>
      </c>
      <c r="F341" s="274"/>
      <c r="G341" s="274"/>
      <c r="H341" s="275"/>
      <c r="I341" s="218" t="s">
        <v>12</v>
      </c>
    </row>
    <row r="342" spans="1:9" ht="21" thickBot="1" x14ac:dyDescent="0.3">
      <c r="A342" s="267"/>
      <c r="B342" s="268"/>
      <c r="C342" s="268"/>
      <c r="D342" s="269"/>
      <c r="E342" s="273">
        <f>(SUM(H340,G340,F340,E340,D340) - A340)</f>
        <v>1666</v>
      </c>
      <c r="F342" s="274"/>
      <c r="G342" s="274"/>
      <c r="H342" s="275"/>
      <c r="I342" s="218" t="s">
        <v>209</v>
      </c>
    </row>
    <row r="343" spans="1:9" ht="21" thickBot="1" x14ac:dyDescent="0.3">
      <c r="A343" s="267"/>
      <c r="B343" s="268"/>
      <c r="C343" s="268"/>
      <c r="D343" s="269"/>
      <c r="E343" s="273">
        <f>H340-A340</f>
        <v>815</v>
      </c>
      <c r="F343" s="274"/>
      <c r="G343" s="274"/>
      <c r="H343" s="275"/>
      <c r="I343" s="218" t="s">
        <v>210</v>
      </c>
    </row>
    <row r="344" spans="1:9" ht="21" thickBot="1" x14ac:dyDescent="0.3">
      <c r="A344" s="270"/>
      <c r="B344" s="271"/>
      <c r="C344" s="271"/>
      <c r="D344" s="272"/>
      <c r="E344" s="273">
        <v>5</v>
      </c>
      <c r="F344" s="274"/>
      <c r="G344" s="274"/>
      <c r="H344" s="275"/>
      <c r="I344" s="218" t="s">
        <v>212</v>
      </c>
    </row>
    <row r="358" spans="1:9" ht="15.75" thickBot="1" x14ac:dyDescent="0.3"/>
    <row r="359" spans="1:9" ht="23.25" thickBot="1" x14ac:dyDescent="0.35">
      <c r="A359" s="251" t="s">
        <v>283</v>
      </c>
      <c r="B359" s="252"/>
      <c r="C359" s="252"/>
      <c r="D359" s="252"/>
      <c r="E359" s="252"/>
      <c r="F359" s="252"/>
      <c r="G359" s="252"/>
      <c r="H359" s="252"/>
      <c r="I359" s="253"/>
    </row>
    <row r="360" spans="1:9" ht="19.5" thickBot="1" x14ac:dyDescent="0.35">
      <c r="A360" s="254" t="s">
        <v>1</v>
      </c>
      <c r="B360" s="255"/>
      <c r="C360" s="255"/>
      <c r="D360" s="254" t="s">
        <v>2</v>
      </c>
      <c r="E360" s="255"/>
      <c r="F360" s="255"/>
      <c r="G360" s="255"/>
      <c r="H360" s="255"/>
      <c r="I360" s="256"/>
    </row>
    <row r="361" spans="1:9" ht="19.5" thickBot="1" x14ac:dyDescent="0.35">
      <c r="A361" s="1" t="s">
        <v>3</v>
      </c>
      <c r="B361" s="257" t="s">
        <v>4</v>
      </c>
      <c r="C361" s="258"/>
      <c r="D361" s="2" t="s">
        <v>5</v>
      </c>
      <c r="E361" s="2" t="s">
        <v>6</v>
      </c>
      <c r="F361" s="2" t="s">
        <v>7</v>
      </c>
      <c r="G361" s="2" t="s">
        <v>8</v>
      </c>
      <c r="H361" s="2" t="s">
        <v>9</v>
      </c>
      <c r="I361" s="221" t="s">
        <v>10</v>
      </c>
    </row>
    <row r="362" spans="1:9" ht="16.5" thickBot="1" x14ac:dyDescent="0.3">
      <c r="A362" s="6">
        <v>25</v>
      </c>
      <c r="B362" s="260" t="s">
        <v>41</v>
      </c>
      <c r="C362" s="261"/>
      <c r="D362" s="222"/>
      <c r="E362" s="222"/>
      <c r="F362" s="220"/>
      <c r="G362" s="222"/>
      <c r="H362" s="220">
        <v>100</v>
      </c>
      <c r="I362" s="185" t="s">
        <v>165</v>
      </c>
    </row>
    <row r="363" spans="1:9" ht="15.75" x14ac:dyDescent="0.25">
      <c r="A363" s="6">
        <f>1*15+2*25</f>
        <v>65</v>
      </c>
      <c r="B363" s="260" t="s">
        <v>294</v>
      </c>
      <c r="C363" s="261"/>
      <c r="D363" s="222"/>
      <c r="E363" s="222"/>
      <c r="F363" s="222">
        <f>150+400</f>
        <v>550</v>
      </c>
      <c r="G363" s="222"/>
      <c r="H363" s="222"/>
      <c r="I363" s="184" t="s">
        <v>287</v>
      </c>
    </row>
    <row r="364" spans="1:9" ht="15.75" x14ac:dyDescent="0.25">
      <c r="A364" s="6"/>
      <c r="B364" s="245"/>
      <c r="C364" s="247"/>
      <c r="D364" s="222"/>
      <c r="E364" s="222"/>
      <c r="F364" s="222" t="s">
        <v>151</v>
      </c>
      <c r="G364" s="222"/>
      <c r="H364" s="222">
        <v>350</v>
      </c>
      <c r="I364" s="184" t="s">
        <v>223</v>
      </c>
    </row>
    <row r="365" spans="1:9" ht="15.75" x14ac:dyDescent="0.25">
      <c r="A365" s="6"/>
      <c r="B365" s="245"/>
      <c r="C365" s="247"/>
      <c r="D365" s="222"/>
      <c r="E365" s="222"/>
      <c r="F365" s="222">
        <v>180</v>
      </c>
      <c r="G365" s="222"/>
      <c r="H365" s="222"/>
      <c r="I365" s="184" t="s">
        <v>284</v>
      </c>
    </row>
    <row r="366" spans="1:9" ht="15.75" x14ac:dyDescent="0.25">
      <c r="A366" s="6"/>
      <c r="B366" s="245"/>
      <c r="C366" s="247"/>
      <c r="D366" s="222"/>
      <c r="E366" s="222"/>
      <c r="F366" s="222">
        <v>10</v>
      </c>
      <c r="H366" s="222"/>
      <c r="I366" s="184" t="s">
        <v>285</v>
      </c>
    </row>
    <row r="367" spans="1:9" ht="15.75" x14ac:dyDescent="0.25">
      <c r="A367" s="8"/>
      <c r="B367" s="250"/>
      <c r="C367" s="247"/>
      <c r="D367" s="222"/>
      <c r="E367" s="222"/>
      <c r="F367" s="222"/>
      <c r="G367" s="222"/>
      <c r="H367" s="222">
        <v>2.5</v>
      </c>
      <c r="I367" s="184" t="s">
        <v>286</v>
      </c>
    </row>
    <row r="368" spans="1:9" ht="15.75" x14ac:dyDescent="0.25">
      <c r="A368" s="6"/>
      <c r="B368" s="245"/>
      <c r="C368" s="247"/>
      <c r="D368" s="222"/>
      <c r="E368" s="222"/>
      <c r="F368" s="222"/>
      <c r="G368" s="222"/>
      <c r="H368" s="222">
        <v>220</v>
      </c>
      <c r="I368" s="184" t="s">
        <v>246</v>
      </c>
    </row>
    <row r="369" spans="1:9" ht="15.75" x14ac:dyDescent="0.25">
      <c r="A369" s="6"/>
      <c r="B369" s="245"/>
      <c r="C369" s="247"/>
      <c r="D369" s="222"/>
      <c r="E369" s="222"/>
      <c r="F369" s="222"/>
      <c r="G369" s="222"/>
      <c r="H369" s="222"/>
      <c r="I369" s="184"/>
    </row>
    <row r="370" spans="1:9" ht="15.75" x14ac:dyDescent="0.25">
      <c r="A370" s="6"/>
      <c r="B370" s="245"/>
      <c r="C370" s="247"/>
      <c r="D370" s="222"/>
      <c r="E370" s="222"/>
      <c r="F370" s="222"/>
      <c r="G370" s="222"/>
      <c r="H370" s="222"/>
      <c r="I370" s="184"/>
    </row>
    <row r="371" spans="1:9" ht="15.75" x14ac:dyDescent="0.25">
      <c r="A371" s="6"/>
      <c r="B371" s="245"/>
      <c r="C371" s="247"/>
      <c r="D371" s="222"/>
      <c r="E371" s="222"/>
      <c r="F371" s="222"/>
      <c r="G371" s="222"/>
      <c r="H371" s="222"/>
      <c r="I371" s="184"/>
    </row>
    <row r="372" spans="1:9" ht="15.75" x14ac:dyDescent="0.25">
      <c r="A372" s="6"/>
      <c r="B372" s="245"/>
      <c r="C372" s="247"/>
      <c r="D372" s="222"/>
      <c r="E372" s="222"/>
      <c r="F372" s="222"/>
      <c r="G372" s="222"/>
      <c r="H372" s="222"/>
      <c r="I372" s="7"/>
    </row>
    <row r="373" spans="1:9" ht="15.75" x14ac:dyDescent="0.25">
      <c r="A373" s="6"/>
      <c r="B373" s="245"/>
      <c r="C373" s="247"/>
      <c r="D373" s="222"/>
      <c r="E373" s="222"/>
      <c r="F373" s="222"/>
      <c r="G373" s="222"/>
      <c r="H373" s="222"/>
      <c r="I373" s="7"/>
    </row>
    <row r="374" spans="1:9" ht="15.75" x14ac:dyDescent="0.25">
      <c r="A374" s="6"/>
      <c r="B374" s="245"/>
      <c r="C374" s="247"/>
      <c r="D374" s="222"/>
      <c r="E374" s="222"/>
      <c r="F374" s="222"/>
      <c r="G374" s="222"/>
      <c r="H374" s="222"/>
      <c r="I374" s="9"/>
    </row>
    <row r="375" spans="1:9" ht="15.75" x14ac:dyDescent="0.25">
      <c r="A375" s="6"/>
      <c r="B375" s="245"/>
      <c r="C375" s="247"/>
      <c r="D375" s="222"/>
      <c r="E375" s="222"/>
      <c r="F375" s="222"/>
      <c r="G375" s="222"/>
      <c r="H375" s="222"/>
      <c r="I375" s="9"/>
    </row>
    <row r="376" spans="1:9" ht="15.75" x14ac:dyDescent="0.25">
      <c r="A376" s="6"/>
      <c r="B376" s="245"/>
      <c r="C376" s="247"/>
      <c r="D376" s="222"/>
      <c r="E376" s="222"/>
      <c r="F376" s="222"/>
      <c r="G376" s="222"/>
      <c r="H376" s="222"/>
      <c r="I376" s="9"/>
    </row>
    <row r="377" spans="1:9" ht="15.75" x14ac:dyDescent="0.25">
      <c r="A377" s="6"/>
      <c r="B377" s="245"/>
      <c r="C377" s="247"/>
      <c r="D377" s="222"/>
      <c r="E377" s="222"/>
      <c r="F377" s="222"/>
      <c r="G377" s="222"/>
      <c r="H377" s="222"/>
      <c r="I377" s="9"/>
    </row>
    <row r="378" spans="1:9" ht="15.75" x14ac:dyDescent="0.25">
      <c r="A378" s="6"/>
      <c r="B378" s="245"/>
      <c r="C378" s="247"/>
      <c r="D378" s="222"/>
      <c r="E378" s="222"/>
      <c r="F378" s="222"/>
      <c r="G378" s="222"/>
      <c r="H378" s="222"/>
      <c r="I378" s="9"/>
    </row>
    <row r="379" spans="1:9" ht="15.75" x14ac:dyDescent="0.25">
      <c r="A379" s="6"/>
      <c r="B379" s="245"/>
      <c r="C379" s="247"/>
      <c r="D379" s="222"/>
      <c r="E379" s="222"/>
      <c r="F379" s="222"/>
      <c r="G379" s="222" t="s">
        <v>151</v>
      </c>
      <c r="H379" s="222"/>
      <c r="I379" s="9"/>
    </row>
    <row r="380" spans="1:9" ht="15.75" x14ac:dyDescent="0.25">
      <c r="A380" s="6"/>
      <c r="B380" s="245"/>
      <c r="C380" s="247"/>
      <c r="D380" s="222"/>
      <c r="E380" s="222"/>
      <c r="F380" s="222"/>
      <c r="G380" s="222"/>
      <c r="H380" s="222"/>
      <c r="I380" s="9"/>
    </row>
    <row r="381" spans="1:9" ht="18.75" x14ac:dyDescent="0.3">
      <c r="A381" s="6"/>
      <c r="B381" s="245"/>
      <c r="C381" s="247"/>
      <c r="D381" s="5"/>
      <c r="E381" s="5"/>
      <c r="F381" s="5"/>
      <c r="G381" s="10"/>
      <c r="H381" s="5"/>
      <c r="I381" s="11"/>
    </row>
    <row r="382" spans="1:9" ht="18.75" x14ac:dyDescent="0.3">
      <c r="A382" s="12"/>
      <c r="B382" s="245"/>
      <c r="C382" s="247"/>
      <c r="D382" s="13"/>
      <c r="E382" s="13"/>
      <c r="F382" s="13"/>
      <c r="G382" s="14"/>
      <c r="H382" s="13"/>
      <c r="I382" s="15"/>
    </row>
    <row r="383" spans="1:9" ht="18.75" x14ac:dyDescent="0.3">
      <c r="A383" s="12"/>
      <c r="B383" s="245"/>
      <c r="C383" s="247"/>
      <c r="D383" s="13"/>
      <c r="E383" s="13"/>
      <c r="F383" s="13"/>
      <c r="G383" s="14"/>
      <c r="H383" s="13"/>
      <c r="I383" s="15"/>
    </row>
    <row r="384" spans="1:9" ht="19.5" thickBot="1" x14ac:dyDescent="0.35">
      <c r="A384" s="12"/>
      <c r="B384" s="248"/>
      <c r="C384" s="249"/>
      <c r="D384" s="16"/>
      <c r="E384" s="16"/>
      <c r="F384" s="16"/>
      <c r="G384" s="14"/>
      <c r="H384" s="16"/>
      <c r="I384" s="15"/>
    </row>
    <row r="385" spans="1:9" ht="16.5" thickBot="1" x14ac:dyDescent="0.3">
      <c r="A385" s="194">
        <f>SUM(A362:A384)</f>
        <v>90</v>
      </c>
      <c r="B385" s="262" t="s">
        <v>211</v>
      </c>
      <c r="C385" s="263"/>
      <c r="D385" s="195">
        <f>SUM(D362:D384)</f>
        <v>0</v>
      </c>
      <c r="E385" s="196">
        <f>SUM(E362:E384)</f>
        <v>0</v>
      </c>
      <c r="F385" s="197">
        <f>SUM(F362:F384)</f>
        <v>740</v>
      </c>
      <c r="G385" s="198">
        <f>SUM(G362:G384)</f>
        <v>0</v>
      </c>
      <c r="H385" s="199">
        <f>SUM(H362:H384)</f>
        <v>672.5</v>
      </c>
      <c r="I385" s="200" t="s">
        <v>213</v>
      </c>
    </row>
    <row r="386" spans="1:9" ht="21" thickBot="1" x14ac:dyDescent="0.3">
      <c r="A386" s="264" t="s">
        <v>296</v>
      </c>
      <c r="B386" s="265"/>
      <c r="C386" s="265"/>
      <c r="D386" s="266"/>
      <c r="E386" s="273">
        <f>H385+G385+F385+E385+D385</f>
        <v>1412.5</v>
      </c>
      <c r="F386" s="274"/>
      <c r="G386" s="274"/>
      <c r="H386" s="275"/>
      <c r="I386" s="223" t="s">
        <v>12</v>
      </c>
    </row>
    <row r="387" spans="1:9" ht="21" thickBot="1" x14ac:dyDescent="0.3">
      <c r="A387" s="267"/>
      <c r="B387" s="268"/>
      <c r="C387" s="268"/>
      <c r="D387" s="269"/>
      <c r="E387" s="273">
        <f>(SUM(H385,G385,F385,E385,D385) - A385)</f>
        <v>1322.5</v>
      </c>
      <c r="F387" s="274"/>
      <c r="G387" s="274"/>
      <c r="H387" s="275"/>
      <c r="I387" s="223" t="s">
        <v>209</v>
      </c>
    </row>
    <row r="388" spans="1:9" ht="21" thickBot="1" x14ac:dyDescent="0.3">
      <c r="A388" s="267"/>
      <c r="B388" s="268"/>
      <c r="C388" s="268"/>
      <c r="D388" s="269"/>
      <c r="E388" s="273">
        <f>H385-A385</f>
        <v>582.5</v>
      </c>
      <c r="F388" s="274"/>
      <c r="G388" s="274"/>
      <c r="H388" s="275"/>
      <c r="I388" s="223" t="s">
        <v>210</v>
      </c>
    </row>
    <row r="389" spans="1:9" ht="21" thickBot="1" x14ac:dyDescent="0.3">
      <c r="A389" s="270"/>
      <c r="B389" s="271"/>
      <c r="C389" s="271"/>
      <c r="D389" s="272"/>
      <c r="E389" s="273">
        <v>4</v>
      </c>
      <c r="F389" s="274"/>
      <c r="G389" s="274"/>
      <c r="H389" s="275"/>
      <c r="I389" s="223" t="s">
        <v>212</v>
      </c>
    </row>
    <row r="403" spans="1:9" ht="15.75" thickBot="1" x14ac:dyDescent="0.3"/>
    <row r="404" spans="1:9" ht="23.25" thickBot="1" x14ac:dyDescent="0.35">
      <c r="A404" s="251" t="s">
        <v>288</v>
      </c>
      <c r="B404" s="252"/>
      <c r="C404" s="252"/>
      <c r="D404" s="252"/>
      <c r="E404" s="252"/>
      <c r="F404" s="252"/>
      <c r="G404" s="252"/>
      <c r="H404" s="252"/>
      <c r="I404" s="253"/>
    </row>
    <row r="405" spans="1:9" ht="19.5" thickBot="1" x14ac:dyDescent="0.35">
      <c r="A405" s="254" t="s">
        <v>1</v>
      </c>
      <c r="B405" s="255"/>
      <c r="C405" s="255"/>
      <c r="D405" s="254" t="s">
        <v>2</v>
      </c>
      <c r="E405" s="255"/>
      <c r="F405" s="255"/>
      <c r="G405" s="255"/>
      <c r="H405" s="255"/>
      <c r="I405" s="256"/>
    </row>
    <row r="406" spans="1:9" ht="19.5" thickBot="1" x14ac:dyDescent="0.35">
      <c r="A406" s="1" t="s">
        <v>3</v>
      </c>
      <c r="B406" s="257" t="s">
        <v>4</v>
      </c>
      <c r="C406" s="258"/>
      <c r="D406" s="2" t="s">
        <v>5</v>
      </c>
      <c r="E406" s="2" t="s">
        <v>6</v>
      </c>
      <c r="F406" s="2" t="s">
        <v>7</v>
      </c>
      <c r="G406" s="2" t="s">
        <v>8</v>
      </c>
      <c r="H406" s="2" t="s">
        <v>9</v>
      </c>
      <c r="I406" s="225" t="s">
        <v>10</v>
      </c>
    </row>
    <row r="407" spans="1:9" ht="16.5" thickBot="1" x14ac:dyDescent="0.3">
      <c r="A407" s="6">
        <f>25*2</f>
        <v>50</v>
      </c>
      <c r="B407" s="260" t="s">
        <v>292</v>
      </c>
      <c r="C407" s="261"/>
      <c r="D407" s="226"/>
      <c r="E407" s="226"/>
      <c r="F407" s="224">
        <v>700</v>
      </c>
      <c r="G407" s="226"/>
      <c r="H407" s="224"/>
      <c r="I407" s="185" t="s">
        <v>289</v>
      </c>
    </row>
    <row r="408" spans="1:9" ht="15.75" x14ac:dyDescent="0.25">
      <c r="A408" s="6">
        <v>5</v>
      </c>
      <c r="B408" s="260" t="s">
        <v>41</v>
      </c>
      <c r="C408" s="261"/>
      <c r="D408" s="226"/>
      <c r="E408" s="226"/>
      <c r="F408" s="226">
        <v>300</v>
      </c>
      <c r="G408" s="226"/>
      <c r="H408" s="226"/>
      <c r="I408" s="184" t="s">
        <v>204</v>
      </c>
    </row>
    <row r="409" spans="1:9" ht="15.75" x14ac:dyDescent="0.25">
      <c r="A409" s="6">
        <f>4*25</f>
        <v>100</v>
      </c>
      <c r="B409" s="245" t="s">
        <v>31</v>
      </c>
      <c r="C409" s="247"/>
      <c r="D409" s="226"/>
      <c r="E409" s="226"/>
      <c r="F409" s="226"/>
      <c r="G409" s="226"/>
      <c r="H409" s="226">
        <v>450</v>
      </c>
      <c r="I409" s="184" t="s">
        <v>123</v>
      </c>
    </row>
    <row r="410" spans="1:9" ht="15.75" x14ac:dyDescent="0.25">
      <c r="A410" s="6"/>
      <c r="B410" s="245"/>
      <c r="C410" s="247"/>
      <c r="D410" s="226"/>
      <c r="E410" s="226"/>
      <c r="F410" s="226"/>
      <c r="G410" s="226"/>
      <c r="H410" s="226">
        <v>290</v>
      </c>
      <c r="I410" s="184" t="s">
        <v>280</v>
      </c>
    </row>
    <row r="411" spans="1:9" ht="15.75" x14ac:dyDescent="0.25">
      <c r="A411" s="6"/>
      <c r="B411" s="245"/>
      <c r="C411" s="247"/>
      <c r="D411" s="226"/>
      <c r="E411" s="226"/>
      <c r="F411" s="226"/>
      <c r="H411" s="228">
        <v>70</v>
      </c>
      <c r="I411" s="184" t="s">
        <v>290</v>
      </c>
    </row>
    <row r="412" spans="1:9" ht="15.75" x14ac:dyDescent="0.25">
      <c r="A412" s="8"/>
      <c r="B412" s="250"/>
      <c r="C412" s="247"/>
      <c r="D412" s="226"/>
      <c r="E412" s="226"/>
      <c r="F412" s="226"/>
      <c r="G412" s="226"/>
      <c r="H412" s="228">
        <v>395</v>
      </c>
      <c r="I412" s="184" t="s">
        <v>291</v>
      </c>
    </row>
    <row r="413" spans="1:9" ht="15.75" x14ac:dyDescent="0.25">
      <c r="A413" s="6"/>
      <c r="B413" s="245"/>
      <c r="C413" s="247"/>
      <c r="D413" s="226"/>
      <c r="E413" s="226"/>
      <c r="F413" s="226"/>
      <c r="G413" s="226"/>
      <c r="H413" s="226"/>
      <c r="I413" s="184"/>
    </row>
    <row r="414" spans="1:9" ht="15.75" x14ac:dyDescent="0.25">
      <c r="A414" s="6"/>
      <c r="B414" s="245"/>
      <c r="C414" s="247"/>
      <c r="D414" s="226"/>
      <c r="E414" s="226"/>
      <c r="F414" s="226"/>
      <c r="G414" s="226"/>
      <c r="H414" s="226"/>
      <c r="I414" s="184"/>
    </row>
    <row r="415" spans="1:9" ht="15.75" x14ac:dyDescent="0.25">
      <c r="A415" s="6"/>
      <c r="B415" s="245"/>
      <c r="C415" s="247"/>
      <c r="D415" s="226"/>
      <c r="E415" s="226"/>
      <c r="F415" s="226"/>
      <c r="G415" s="226"/>
      <c r="H415" s="226"/>
      <c r="I415" s="184"/>
    </row>
    <row r="416" spans="1:9" ht="15.75" x14ac:dyDescent="0.25">
      <c r="A416" s="6"/>
      <c r="B416" s="245"/>
      <c r="C416" s="247"/>
      <c r="D416" s="226"/>
      <c r="E416" s="226"/>
      <c r="F416" s="226"/>
      <c r="G416" s="226"/>
      <c r="H416" s="226"/>
      <c r="I416" s="184"/>
    </row>
    <row r="417" spans="1:9" ht="15.75" x14ac:dyDescent="0.25">
      <c r="A417" s="6"/>
      <c r="B417" s="245"/>
      <c r="C417" s="247"/>
      <c r="D417" s="226"/>
      <c r="E417" s="226"/>
      <c r="F417" s="226"/>
      <c r="G417" s="226"/>
      <c r="H417" s="226"/>
      <c r="I417" s="7"/>
    </row>
    <row r="418" spans="1:9" ht="15.75" x14ac:dyDescent="0.25">
      <c r="A418" s="6"/>
      <c r="B418" s="245"/>
      <c r="C418" s="247"/>
      <c r="D418" s="226"/>
      <c r="E418" s="226"/>
      <c r="F418" s="226"/>
      <c r="G418" s="226"/>
      <c r="H418" s="226"/>
      <c r="I418" s="7"/>
    </row>
    <row r="419" spans="1:9" ht="15.75" x14ac:dyDescent="0.25">
      <c r="A419" s="6"/>
      <c r="B419" s="245"/>
      <c r="C419" s="247"/>
      <c r="D419" s="226"/>
      <c r="E419" s="226"/>
      <c r="F419" s="226"/>
      <c r="G419" s="226"/>
      <c r="H419" s="226"/>
      <c r="I419" s="9"/>
    </row>
    <row r="420" spans="1:9" ht="15.75" x14ac:dyDescent="0.25">
      <c r="A420" s="6"/>
      <c r="B420" s="245"/>
      <c r="C420" s="247"/>
      <c r="D420" s="226"/>
      <c r="E420" s="226"/>
      <c r="F420" s="226"/>
      <c r="G420" s="226"/>
      <c r="H420" s="226"/>
      <c r="I420" s="9"/>
    </row>
    <row r="421" spans="1:9" ht="15.75" x14ac:dyDescent="0.25">
      <c r="A421" s="6"/>
      <c r="B421" s="245"/>
      <c r="C421" s="247"/>
      <c r="D421" s="226"/>
      <c r="E421" s="226"/>
      <c r="F421" s="226"/>
      <c r="G421" s="226"/>
      <c r="H421" s="226"/>
      <c r="I421" s="9"/>
    </row>
    <row r="422" spans="1:9" ht="15.75" x14ac:dyDescent="0.25">
      <c r="A422" s="6"/>
      <c r="B422" s="245"/>
      <c r="C422" s="247"/>
      <c r="D422" s="226"/>
      <c r="E422" s="226"/>
      <c r="F422" s="226"/>
      <c r="G422" s="226"/>
      <c r="H422" s="226"/>
      <c r="I422" s="9"/>
    </row>
    <row r="423" spans="1:9" ht="15.75" x14ac:dyDescent="0.25">
      <c r="A423" s="6"/>
      <c r="B423" s="245"/>
      <c r="C423" s="247"/>
      <c r="D423" s="226"/>
      <c r="E423" s="226"/>
      <c r="F423" s="226"/>
      <c r="G423" s="226"/>
      <c r="H423" s="226"/>
      <c r="I423" s="9"/>
    </row>
    <row r="424" spans="1:9" ht="15.75" x14ac:dyDescent="0.25">
      <c r="A424" s="6"/>
      <c r="B424" s="245"/>
      <c r="C424" s="247"/>
      <c r="D424" s="226"/>
      <c r="E424" s="226"/>
      <c r="F424" s="226"/>
      <c r="G424" s="226" t="s">
        <v>151</v>
      </c>
      <c r="H424" s="226"/>
      <c r="I424" s="9"/>
    </row>
    <row r="425" spans="1:9" ht="15.75" x14ac:dyDescent="0.25">
      <c r="A425" s="6"/>
      <c r="B425" s="245"/>
      <c r="C425" s="247"/>
      <c r="D425" s="226"/>
      <c r="E425" s="226"/>
      <c r="F425" s="226"/>
      <c r="G425" s="226"/>
      <c r="H425" s="226"/>
      <c r="I425" s="9"/>
    </row>
    <row r="426" spans="1:9" ht="18.75" x14ac:dyDescent="0.3">
      <c r="A426" s="6"/>
      <c r="B426" s="245"/>
      <c r="C426" s="247"/>
      <c r="D426" s="5"/>
      <c r="E426" s="5"/>
      <c r="F426" s="5"/>
      <c r="G426" s="10"/>
      <c r="H426" s="5"/>
      <c r="I426" s="11"/>
    </row>
    <row r="427" spans="1:9" ht="18.75" x14ac:dyDescent="0.3">
      <c r="A427" s="12"/>
      <c r="B427" s="245"/>
      <c r="C427" s="247"/>
      <c r="D427" s="13"/>
      <c r="E427" s="13"/>
      <c r="F427" s="13"/>
      <c r="G427" s="14"/>
      <c r="H427" s="13"/>
      <c r="I427" s="15"/>
    </row>
    <row r="428" spans="1:9" ht="18.75" x14ac:dyDescent="0.3">
      <c r="A428" s="12"/>
      <c r="B428" s="245"/>
      <c r="C428" s="247"/>
      <c r="D428" s="13"/>
      <c r="E428" s="13"/>
      <c r="F428" s="13"/>
      <c r="G428" s="14"/>
      <c r="H428" s="13"/>
      <c r="I428" s="15"/>
    </row>
    <row r="429" spans="1:9" ht="19.5" thickBot="1" x14ac:dyDescent="0.35">
      <c r="A429" s="12"/>
      <c r="B429" s="248"/>
      <c r="C429" s="249"/>
      <c r="D429" s="16"/>
      <c r="E429" s="16"/>
      <c r="F429" s="16"/>
      <c r="G429" s="14"/>
      <c r="H429" s="16"/>
      <c r="I429" s="15"/>
    </row>
    <row r="430" spans="1:9" ht="16.5" thickBot="1" x14ac:dyDescent="0.3">
      <c r="A430" s="194">
        <f>SUM(A407:A429)</f>
        <v>155</v>
      </c>
      <c r="B430" s="262" t="s">
        <v>211</v>
      </c>
      <c r="C430" s="263"/>
      <c r="D430" s="195">
        <f>SUM(D407:D429)</f>
        <v>0</v>
      </c>
      <c r="E430" s="196">
        <f>SUM(E407:E429)</f>
        <v>0</v>
      </c>
      <c r="F430" s="197">
        <f>SUM(F407:F429)</f>
        <v>1000</v>
      </c>
      <c r="G430" s="198">
        <f>SUM(G407:G429)</f>
        <v>0</v>
      </c>
      <c r="H430" s="199">
        <f>SUM(H407:H429)</f>
        <v>1205</v>
      </c>
      <c r="I430" s="200" t="s">
        <v>213</v>
      </c>
    </row>
    <row r="431" spans="1:9" ht="21" thickBot="1" x14ac:dyDescent="0.3">
      <c r="A431" s="264" t="s">
        <v>295</v>
      </c>
      <c r="B431" s="265"/>
      <c r="C431" s="265"/>
      <c r="D431" s="266"/>
      <c r="E431" s="273">
        <f>H430+G430+F430+E430+D430</f>
        <v>2205</v>
      </c>
      <c r="F431" s="274"/>
      <c r="G431" s="274"/>
      <c r="H431" s="275"/>
      <c r="I431" s="227" t="s">
        <v>12</v>
      </c>
    </row>
    <row r="432" spans="1:9" ht="21" thickBot="1" x14ac:dyDescent="0.3">
      <c r="A432" s="267"/>
      <c r="B432" s="268"/>
      <c r="C432" s="268"/>
      <c r="D432" s="269"/>
      <c r="E432" s="273">
        <f>(SUM(H430,G430,F430,E430,D430) - A430)</f>
        <v>2050</v>
      </c>
      <c r="F432" s="274"/>
      <c r="G432" s="274"/>
      <c r="H432" s="275"/>
      <c r="I432" s="227" t="s">
        <v>209</v>
      </c>
    </row>
    <row r="433" spans="1:9" ht="21" thickBot="1" x14ac:dyDescent="0.3">
      <c r="A433" s="267"/>
      <c r="B433" s="268"/>
      <c r="C433" s="268"/>
      <c r="D433" s="269"/>
      <c r="E433" s="273">
        <f>H430-A430</f>
        <v>1050</v>
      </c>
      <c r="F433" s="274"/>
      <c r="G433" s="274"/>
      <c r="H433" s="275"/>
      <c r="I433" s="227" t="s">
        <v>210</v>
      </c>
    </row>
    <row r="434" spans="1:9" ht="21" thickBot="1" x14ac:dyDescent="0.3">
      <c r="A434" s="270"/>
      <c r="B434" s="271"/>
      <c r="C434" s="271"/>
      <c r="D434" s="272"/>
      <c r="E434" s="273">
        <f>2+1+1+1+1</f>
        <v>6</v>
      </c>
      <c r="F434" s="274"/>
      <c r="G434" s="274"/>
      <c r="H434" s="275"/>
      <c r="I434" s="227" t="s">
        <v>212</v>
      </c>
    </row>
    <row r="448" spans="1:9" ht="15.75" thickBot="1" x14ac:dyDescent="0.3"/>
    <row r="449" spans="1:9" ht="23.25" thickBot="1" x14ac:dyDescent="0.35">
      <c r="A449" s="251" t="s">
        <v>297</v>
      </c>
      <c r="B449" s="252"/>
      <c r="C449" s="252"/>
      <c r="D449" s="252"/>
      <c r="E449" s="252"/>
      <c r="F449" s="252"/>
      <c r="G449" s="252"/>
      <c r="H449" s="252"/>
      <c r="I449" s="253"/>
    </row>
    <row r="450" spans="1:9" ht="19.5" thickBot="1" x14ac:dyDescent="0.35">
      <c r="A450" s="254" t="s">
        <v>1</v>
      </c>
      <c r="B450" s="255"/>
      <c r="C450" s="255"/>
      <c r="D450" s="254" t="s">
        <v>2</v>
      </c>
      <c r="E450" s="255"/>
      <c r="F450" s="255"/>
      <c r="G450" s="255"/>
      <c r="H450" s="255"/>
      <c r="I450" s="256"/>
    </row>
    <row r="451" spans="1:9" ht="19.5" thickBot="1" x14ac:dyDescent="0.35">
      <c r="A451" s="1" t="s">
        <v>3</v>
      </c>
      <c r="B451" s="257" t="s">
        <v>4</v>
      </c>
      <c r="C451" s="258"/>
      <c r="D451" s="2" t="s">
        <v>5</v>
      </c>
      <c r="E451" s="2" t="s">
        <v>6</v>
      </c>
      <c r="F451" s="2" t="s">
        <v>7</v>
      </c>
      <c r="G451" s="2" t="s">
        <v>8</v>
      </c>
      <c r="H451" s="2" t="s">
        <v>9</v>
      </c>
      <c r="I451" s="230" t="s">
        <v>10</v>
      </c>
    </row>
    <row r="452" spans="1:9" ht="16.5" thickBot="1" x14ac:dyDescent="0.3">
      <c r="A452" s="6">
        <v>30</v>
      </c>
      <c r="B452" s="260" t="s">
        <v>41</v>
      </c>
      <c r="C452" s="261"/>
      <c r="D452" s="231"/>
      <c r="E452" s="231"/>
      <c r="F452" s="229">
        <v>1000</v>
      </c>
      <c r="G452" s="231"/>
      <c r="H452" s="229"/>
      <c r="I452" s="185" t="s">
        <v>298</v>
      </c>
    </row>
    <row r="453" spans="1:9" ht="15.75" x14ac:dyDescent="0.25">
      <c r="A453" s="6">
        <f>30+15+25</f>
        <v>70</v>
      </c>
      <c r="B453" s="260" t="s">
        <v>304</v>
      </c>
      <c r="C453" s="261"/>
      <c r="D453" s="231"/>
      <c r="E453" s="231"/>
      <c r="F453" s="231">
        <v>230</v>
      </c>
      <c r="G453" s="231"/>
      <c r="H453" s="231">
        <v>50</v>
      </c>
      <c r="I453" s="184" t="s">
        <v>299</v>
      </c>
    </row>
    <row r="454" spans="1:9" ht="15.75" x14ac:dyDescent="0.25">
      <c r="A454" s="6"/>
      <c r="B454" s="245"/>
      <c r="C454" s="247"/>
      <c r="D454" s="231"/>
      <c r="E454" s="231"/>
      <c r="F454" s="231"/>
      <c r="G454" s="231"/>
      <c r="H454" s="231">
        <v>550</v>
      </c>
      <c r="I454" s="184" t="s">
        <v>301</v>
      </c>
    </row>
    <row r="455" spans="1:9" ht="15.75" x14ac:dyDescent="0.25">
      <c r="A455" s="6"/>
      <c r="B455" s="245"/>
      <c r="C455" s="247"/>
      <c r="D455" s="231"/>
      <c r="E455" s="231"/>
      <c r="F455" s="231"/>
      <c r="G455" s="231"/>
      <c r="H455" s="231"/>
      <c r="I455" s="184" t="s">
        <v>300</v>
      </c>
    </row>
    <row r="456" spans="1:9" ht="15.75" x14ac:dyDescent="0.25">
      <c r="A456" s="6"/>
      <c r="B456" s="245"/>
      <c r="C456" s="247"/>
      <c r="D456" s="231"/>
      <c r="E456" s="231"/>
      <c r="F456" s="231">
        <v>175</v>
      </c>
      <c r="H456" s="231"/>
      <c r="I456" s="184" t="s">
        <v>305</v>
      </c>
    </row>
    <row r="457" spans="1:9" ht="15.75" x14ac:dyDescent="0.25">
      <c r="A457" s="8"/>
      <c r="B457" s="250"/>
      <c r="C457" s="247"/>
      <c r="D457" s="231">
        <v>300</v>
      </c>
      <c r="E457" s="231"/>
      <c r="F457" s="231"/>
      <c r="G457" s="231"/>
      <c r="H457" s="231"/>
      <c r="I457" s="184" t="s">
        <v>302</v>
      </c>
    </row>
    <row r="458" spans="1:9" ht="15.75" x14ac:dyDescent="0.25">
      <c r="A458" s="6"/>
      <c r="B458" s="245"/>
      <c r="C458" s="247"/>
      <c r="D458" s="231"/>
      <c r="E458" s="231"/>
      <c r="F458" s="231"/>
      <c r="G458" s="231"/>
      <c r="H458" s="231"/>
      <c r="I458" s="184"/>
    </row>
    <row r="459" spans="1:9" ht="15.75" x14ac:dyDescent="0.25">
      <c r="A459" s="6"/>
      <c r="B459" s="245"/>
      <c r="C459" s="247"/>
      <c r="D459" s="231"/>
      <c r="E459" s="231"/>
      <c r="F459" s="231"/>
      <c r="G459" s="231"/>
      <c r="H459" s="231"/>
      <c r="I459" s="184"/>
    </row>
    <row r="460" spans="1:9" ht="15.75" x14ac:dyDescent="0.25">
      <c r="A460" s="6"/>
      <c r="B460" s="245"/>
      <c r="C460" s="247"/>
      <c r="D460" s="231"/>
      <c r="E460" s="231"/>
      <c r="F460" s="231"/>
      <c r="G460" s="231"/>
      <c r="H460" s="231"/>
      <c r="I460" s="184"/>
    </row>
    <row r="461" spans="1:9" ht="15.75" x14ac:dyDescent="0.25">
      <c r="A461" s="6"/>
      <c r="B461" s="245"/>
      <c r="C461" s="247"/>
      <c r="D461" s="231"/>
      <c r="E461" s="231"/>
      <c r="F461" s="231"/>
      <c r="G461" s="231"/>
      <c r="H461" s="231"/>
      <c r="I461" s="184"/>
    </row>
    <row r="462" spans="1:9" ht="15.75" x14ac:dyDescent="0.25">
      <c r="A462" s="6"/>
      <c r="B462" s="245"/>
      <c r="C462" s="247"/>
      <c r="D462" s="231"/>
      <c r="E462" s="231"/>
      <c r="F462" s="231"/>
      <c r="G462" s="231"/>
      <c r="H462" s="231"/>
      <c r="I462" s="7"/>
    </row>
    <row r="463" spans="1:9" ht="15.75" x14ac:dyDescent="0.25">
      <c r="A463" s="6"/>
      <c r="B463" s="245"/>
      <c r="C463" s="247"/>
      <c r="D463" s="231"/>
      <c r="E463" s="231"/>
      <c r="F463" s="231"/>
      <c r="G463" s="231"/>
      <c r="H463" s="231"/>
      <c r="I463" s="7"/>
    </row>
    <row r="464" spans="1:9" ht="15.75" x14ac:dyDescent="0.25">
      <c r="A464" s="6"/>
      <c r="B464" s="245"/>
      <c r="C464" s="247"/>
      <c r="D464" s="231"/>
      <c r="E464" s="231"/>
      <c r="F464" s="231"/>
      <c r="G464" s="231"/>
      <c r="H464" s="231"/>
      <c r="I464" s="9"/>
    </row>
    <row r="465" spans="1:9" ht="15.75" x14ac:dyDescent="0.25">
      <c r="A465" s="6"/>
      <c r="B465" s="245"/>
      <c r="C465" s="247"/>
      <c r="D465" s="231"/>
      <c r="E465" s="231"/>
      <c r="F465" s="231"/>
      <c r="G465" s="231"/>
      <c r="H465" s="231"/>
      <c r="I465" s="9"/>
    </row>
    <row r="466" spans="1:9" ht="15.75" x14ac:dyDescent="0.25">
      <c r="A466" s="6"/>
      <c r="B466" s="245"/>
      <c r="C466" s="247"/>
      <c r="D466" s="231"/>
      <c r="E466" s="231"/>
      <c r="F466" s="231"/>
      <c r="G466" s="231"/>
      <c r="H466" s="231"/>
      <c r="I466" s="9"/>
    </row>
    <row r="467" spans="1:9" ht="15.75" x14ac:dyDescent="0.25">
      <c r="A467" s="6"/>
      <c r="B467" s="245"/>
      <c r="C467" s="247"/>
      <c r="D467" s="231"/>
      <c r="E467" s="231"/>
      <c r="F467" s="231"/>
      <c r="G467" s="231"/>
      <c r="H467" s="231"/>
      <c r="I467" s="9"/>
    </row>
    <row r="468" spans="1:9" ht="15.75" x14ac:dyDescent="0.25">
      <c r="A468" s="6"/>
      <c r="B468" s="245"/>
      <c r="C468" s="247"/>
      <c r="D468" s="231"/>
      <c r="E468" s="231"/>
      <c r="F468" s="231"/>
      <c r="G468" s="231"/>
      <c r="H468" s="231"/>
      <c r="I468" s="9"/>
    </row>
    <row r="469" spans="1:9" ht="15.75" x14ac:dyDescent="0.25">
      <c r="A469" s="6"/>
      <c r="B469" s="245"/>
      <c r="C469" s="247"/>
      <c r="D469" s="231"/>
      <c r="E469" s="231"/>
      <c r="F469" s="231"/>
      <c r="G469" s="231" t="s">
        <v>151</v>
      </c>
      <c r="H469" s="231"/>
      <c r="I469" s="9"/>
    </row>
    <row r="470" spans="1:9" ht="15.75" x14ac:dyDescent="0.25">
      <c r="A470" s="6"/>
      <c r="B470" s="245"/>
      <c r="C470" s="247"/>
      <c r="D470" s="231"/>
      <c r="E470" s="231"/>
      <c r="F470" s="231"/>
      <c r="G470" s="231"/>
      <c r="H470" s="231"/>
      <c r="I470" s="9"/>
    </row>
    <row r="471" spans="1:9" ht="18.75" x14ac:dyDescent="0.3">
      <c r="A471" s="6"/>
      <c r="B471" s="245"/>
      <c r="C471" s="247"/>
      <c r="D471" s="5"/>
      <c r="E471" s="5"/>
      <c r="F471" s="5"/>
      <c r="G471" s="10"/>
      <c r="H471" s="5"/>
      <c r="I471" s="11"/>
    </row>
    <row r="472" spans="1:9" ht="18.75" x14ac:dyDescent="0.3">
      <c r="A472" s="12"/>
      <c r="B472" s="245"/>
      <c r="C472" s="247"/>
      <c r="D472" s="13"/>
      <c r="E472" s="13"/>
      <c r="F472" s="13"/>
      <c r="G472" s="14"/>
      <c r="H472" s="13"/>
      <c r="I472" s="15"/>
    </row>
    <row r="473" spans="1:9" ht="18.75" x14ac:dyDescent="0.3">
      <c r="A473" s="12"/>
      <c r="B473" s="245"/>
      <c r="C473" s="247"/>
      <c r="D473" s="13"/>
      <c r="E473" s="13"/>
      <c r="F473" s="13"/>
      <c r="G473" s="14"/>
      <c r="H473" s="13"/>
      <c r="I473" s="15"/>
    </row>
    <row r="474" spans="1:9" ht="19.5" thickBot="1" x14ac:dyDescent="0.35">
      <c r="A474" s="12"/>
      <c r="B474" s="248"/>
      <c r="C474" s="249"/>
      <c r="D474" s="16"/>
      <c r="E474" s="16"/>
      <c r="F474" s="16"/>
      <c r="G474" s="14"/>
      <c r="H474" s="16"/>
      <c r="I474" s="15"/>
    </row>
    <row r="475" spans="1:9" ht="16.5" thickBot="1" x14ac:dyDescent="0.3">
      <c r="A475" s="194">
        <f>SUM(A452:A474)</f>
        <v>100</v>
      </c>
      <c r="B475" s="262" t="s">
        <v>211</v>
      </c>
      <c r="C475" s="263"/>
      <c r="D475" s="195">
        <f>SUM(D452:D474)</f>
        <v>300</v>
      </c>
      <c r="E475" s="196">
        <f>SUM(E452:E474)</f>
        <v>0</v>
      </c>
      <c r="F475" s="197">
        <f>SUM(F452:F474)</f>
        <v>1405</v>
      </c>
      <c r="G475" s="198">
        <f>SUM(G452:G474)</f>
        <v>0</v>
      </c>
      <c r="H475" s="199">
        <f>SUM(H452:H474)</f>
        <v>600</v>
      </c>
      <c r="I475" s="200" t="s">
        <v>213</v>
      </c>
    </row>
    <row r="476" spans="1:9" ht="21" thickBot="1" x14ac:dyDescent="0.3">
      <c r="A476" s="264" t="s">
        <v>303</v>
      </c>
      <c r="B476" s="265"/>
      <c r="C476" s="265"/>
      <c r="D476" s="266"/>
      <c r="E476" s="273">
        <f>H475+G475+F475+E475+D475</f>
        <v>2305</v>
      </c>
      <c r="F476" s="274"/>
      <c r="G476" s="274"/>
      <c r="H476" s="275"/>
      <c r="I476" s="232" t="s">
        <v>12</v>
      </c>
    </row>
    <row r="477" spans="1:9" ht="21" thickBot="1" x14ac:dyDescent="0.3">
      <c r="A477" s="267"/>
      <c r="B477" s="268"/>
      <c r="C477" s="268"/>
      <c r="D477" s="269"/>
      <c r="E477" s="273">
        <f>(SUM(H475,G475,F475,E475,D475) - A475)</f>
        <v>2205</v>
      </c>
      <c r="F477" s="274"/>
      <c r="G477" s="274"/>
      <c r="H477" s="275"/>
      <c r="I477" s="232" t="s">
        <v>209</v>
      </c>
    </row>
    <row r="478" spans="1:9" ht="21" thickBot="1" x14ac:dyDescent="0.3">
      <c r="A478" s="267"/>
      <c r="B478" s="268"/>
      <c r="C478" s="268"/>
      <c r="D478" s="269"/>
      <c r="E478" s="273">
        <f>H475-A475</f>
        <v>500</v>
      </c>
      <c r="F478" s="274"/>
      <c r="G478" s="274"/>
      <c r="H478" s="275"/>
      <c r="I478" s="232" t="s">
        <v>210</v>
      </c>
    </row>
    <row r="479" spans="1:9" ht="21" thickBot="1" x14ac:dyDescent="0.3">
      <c r="A479" s="270"/>
      <c r="B479" s="271"/>
      <c r="C479" s="271"/>
      <c r="D479" s="272"/>
      <c r="E479" s="273">
        <v>8</v>
      </c>
      <c r="F479" s="274"/>
      <c r="G479" s="274"/>
      <c r="H479" s="275"/>
      <c r="I479" s="232" t="s">
        <v>212</v>
      </c>
    </row>
    <row r="493" spans="1:9" ht="15.75" thickBot="1" x14ac:dyDescent="0.3"/>
    <row r="494" spans="1:9" ht="23.25" thickBot="1" x14ac:dyDescent="0.35">
      <c r="A494" s="251" t="s">
        <v>306</v>
      </c>
      <c r="B494" s="252"/>
      <c r="C494" s="252"/>
      <c r="D494" s="252"/>
      <c r="E494" s="252"/>
      <c r="F494" s="252"/>
      <c r="G494" s="252"/>
      <c r="H494" s="252"/>
      <c r="I494" s="253"/>
    </row>
    <row r="495" spans="1:9" ht="19.5" thickBot="1" x14ac:dyDescent="0.35">
      <c r="A495" s="254" t="s">
        <v>1</v>
      </c>
      <c r="B495" s="255"/>
      <c r="C495" s="255"/>
      <c r="D495" s="254" t="s">
        <v>2</v>
      </c>
      <c r="E495" s="255"/>
      <c r="F495" s="255"/>
      <c r="G495" s="255"/>
      <c r="H495" s="255"/>
      <c r="I495" s="256"/>
    </row>
    <row r="496" spans="1:9" ht="19.5" thickBot="1" x14ac:dyDescent="0.35">
      <c r="A496" s="1" t="s">
        <v>3</v>
      </c>
      <c r="B496" s="257" t="s">
        <v>4</v>
      </c>
      <c r="C496" s="258"/>
      <c r="D496" s="2" t="s">
        <v>5</v>
      </c>
      <c r="E496" s="2" t="s">
        <v>6</v>
      </c>
      <c r="F496" s="2" t="s">
        <v>7</v>
      </c>
      <c r="G496" s="2" t="s">
        <v>8</v>
      </c>
      <c r="H496" s="2" t="s">
        <v>9</v>
      </c>
      <c r="I496" s="234" t="s">
        <v>10</v>
      </c>
    </row>
    <row r="497" spans="1:9" ht="16.5" thickBot="1" x14ac:dyDescent="0.3">
      <c r="A497" s="6">
        <v>4</v>
      </c>
      <c r="B497" s="260" t="s">
        <v>308</v>
      </c>
      <c r="C497" s="261"/>
      <c r="D497" s="235"/>
      <c r="E497" s="235"/>
      <c r="F497" s="233"/>
      <c r="G497" s="235"/>
      <c r="H497" s="233">
        <v>4</v>
      </c>
      <c r="I497" s="185" t="s">
        <v>307</v>
      </c>
    </row>
    <row r="498" spans="1:9" ht="15.75" x14ac:dyDescent="0.25">
      <c r="A498" s="6">
        <v>214</v>
      </c>
      <c r="B498" s="260" t="s">
        <v>309</v>
      </c>
      <c r="C498" s="261"/>
      <c r="D498" s="235"/>
      <c r="E498" s="235"/>
      <c r="F498" s="235"/>
      <c r="G498" s="235"/>
      <c r="H498" s="235">
        <v>300</v>
      </c>
      <c r="I498" s="184" t="s">
        <v>315</v>
      </c>
    </row>
    <row r="499" spans="1:9" ht="15.75" x14ac:dyDescent="0.25">
      <c r="A499" s="6">
        <v>30</v>
      </c>
      <c r="B499" s="245" t="s">
        <v>310</v>
      </c>
      <c r="C499" s="247"/>
      <c r="D499" s="235"/>
      <c r="E499" s="235"/>
      <c r="F499" s="235"/>
      <c r="G499" s="235"/>
      <c r="H499" s="235">
        <v>180</v>
      </c>
      <c r="I499" s="184" t="s">
        <v>284</v>
      </c>
    </row>
    <row r="500" spans="1:9" ht="15.75" x14ac:dyDescent="0.25">
      <c r="A500" s="6">
        <v>55</v>
      </c>
      <c r="B500" s="245" t="s">
        <v>311</v>
      </c>
      <c r="C500" s="247"/>
      <c r="D500" s="235"/>
      <c r="E500" s="235"/>
      <c r="F500" s="235"/>
      <c r="G500" s="235"/>
      <c r="H500" s="235">
        <v>15</v>
      </c>
      <c r="I500" s="184" t="s">
        <v>312</v>
      </c>
    </row>
    <row r="501" spans="1:9" ht="15.75" x14ac:dyDescent="0.25">
      <c r="A501" s="6"/>
      <c r="B501" s="245"/>
      <c r="C501" s="247"/>
      <c r="D501" s="235"/>
      <c r="E501" s="235"/>
      <c r="F501" s="235"/>
      <c r="H501" s="235">
        <v>120</v>
      </c>
      <c r="I501" s="184" t="s">
        <v>127</v>
      </c>
    </row>
    <row r="502" spans="1:9" ht="15.75" x14ac:dyDescent="0.25">
      <c r="A502" s="8"/>
      <c r="B502" s="250"/>
      <c r="C502" s="247"/>
      <c r="D502" s="235"/>
      <c r="E502" s="235"/>
      <c r="F502" s="235"/>
      <c r="G502" s="235"/>
      <c r="H502" s="235">
        <v>175</v>
      </c>
      <c r="I502" s="184" t="s">
        <v>313</v>
      </c>
    </row>
    <row r="503" spans="1:9" ht="15.75" x14ac:dyDescent="0.25">
      <c r="A503" s="6"/>
      <c r="B503" s="245"/>
      <c r="C503" s="247"/>
      <c r="D503" s="235"/>
      <c r="E503" s="235"/>
      <c r="F503" s="235"/>
      <c r="G503" s="235"/>
      <c r="H503" s="235"/>
      <c r="I503" s="184"/>
    </row>
    <row r="504" spans="1:9" ht="15.75" x14ac:dyDescent="0.25">
      <c r="A504" s="6"/>
      <c r="B504" s="245"/>
      <c r="C504" s="247"/>
      <c r="D504" s="235"/>
      <c r="E504" s="235"/>
      <c r="F504" s="235"/>
      <c r="G504" s="235"/>
      <c r="H504" s="235"/>
      <c r="I504" s="184"/>
    </row>
    <row r="505" spans="1:9" ht="15.75" x14ac:dyDescent="0.25">
      <c r="A505" s="6"/>
      <c r="B505" s="245"/>
      <c r="C505" s="247"/>
      <c r="D505" s="235"/>
      <c r="E505" s="235"/>
      <c r="F505" s="235"/>
      <c r="G505" s="235"/>
      <c r="H505" s="235"/>
      <c r="I505" s="184"/>
    </row>
    <row r="506" spans="1:9" ht="15.75" x14ac:dyDescent="0.25">
      <c r="A506" s="6"/>
      <c r="B506" s="245"/>
      <c r="C506" s="247"/>
      <c r="D506" s="235"/>
      <c r="E506" s="235"/>
      <c r="F506" s="235"/>
      <c r="G506" s="235"/>
      <c r="H506" s="235"/>
      <c r="I506" s="184"/>
    </row>
    <row r="507" spans="1:9" ht="15.75" x14ac:dyDescent="0.25">
      <c r="A507" s="6"/>
      <c r="B507" s="245"/>
      <c r="C507" s="247"/>
      <c r="D507" s="235"/>
      <c r="E507" s="235"/>
      <c r="F507" s="235"/>
      <c r="G507" s="235"/>
      <c r="H507" s="235"/>
      <c r="I507" s="7"/>
    </row>
    <row r="508" spans="1:9" ht="15.75" x14ac:dyDescent="0.25">
      <c r="A508" s="6"/>
      <c r="B508" s="245"/>
      <c r="C508" s="247"/>
      <c r="D508" s="235"/>
      <c r="E508" s="235"/>
      <c r="F508" s="235"/>
      <c r="G508" s="235"/>
      <c r="H508" s="235"/>
      <c r="I508" s="7"/>
    </row>
    <row r="509" spans="1:9" ht="15.75" x14ac:dyDescent="0.25">
      <c r="A509" s="6"/>
      <c r="B509" s="245"/>
      <c r="C509" s="247"/>
      <c r="D509" s="235"/>
      <c r="E509" s="235"/>
      <c r="F509" s="235"/>
      <c r="G509" s="235"/>
      <c r="H509" s="235"/>
      <c r="I509" s="9"/>
    </row>
    <row r="510" spans="1:9" ht="15.75" x14ac:dyDescent="0.25">
      <c r="A510" s="6"/>
      <c r="B510" s="245"/>
      <c r="C510" s="247"/>
      <c r="D510" s="235"/>
      <c r="E510" s="235"/>
      <c r="F510" s="235"/>
      <c r="G510" s="235"/>
      <c r="H510" s="235"/>
      <c r="I510" s="9"/>
    </row>
    <row r="511" spans="1:9" ht="15.75" x14ac:dyDescent="0.25">
      <c r="A511" s="6"/>
      <c r="B511" s="245"/>
      <c r="C511" s="247"/>
      <c r="D511" s="235"/>
      <c r="E511" s="235"/>
      <c r="F511" s="235"/>
      <c r="G511" s="235"/>
      <c r="H511" s="235"/>
      <c r="I511" s="9"/>
    </row>
    <row r="512" spans="1:9" ht="15.75" x14ac:dyDescent="0.25">
      <c r="A512" s="6"/>
      <c r="B512" s="245"/>
      <c r="C512" s="247"/>
      <c r="D512" s="235"/>
      <c r="E512" s="235"/>
      <c r="F512" s="235"/>
      <c r="G512" s="235"/>
      <c r="H512" s="235"/>
      <c r="I512" s="9"/>
    </row>
    <row r="513" spans="1:9" ht="15.75" x14ac:dyDescent="0.25">
      <c r="A513" s="6"/>
      <c r="B513" s="245"/>
      <c r="C513" s="247"/>
      <c r="D513" s="235"/>
      <c r="E513" s="235"/>
      <c r="F513" s="235"/>
      <c r="G513" s="235"/>
      <c r="H513" s="235"/>
      <c r="I513" s="9"/>
    </row>
    <row r="514" spans="1:9" ht="15.75" x14ac:dyDescent="0.25">
      <c r="A514" s="6"/>
      <c r="B514" s="245"/>
      <c r="C514" s="247"/>
      <c r="D514" s="235"/>
      <c r="E514" s="235"/>
      <c r="F514" s="235"/>
      <c r="G514" s="235" t="s">
        <v>151</v>
      </c>
      <c r="H514" s="235"/>
      <c r="I514" s="9"/>
    </row>
    <row r="515" spans="1:9" ht="15.75" x14ac:dyDescent="0.25">
      <c r="A515" s="6"/>
      <c r="B515" s="245"/>
      <c r="C515" s="247"/>
      <c r="D515" s="235"/>
      <c r="E515" s="235"/>
      <c r="F515" s="235"/>
      <c r="G515" s="235"/>
      <c r="H515" s="235"/>
      <c r="I515" s="9"/>
    </row>
    <row r="516" spans="1:9" ht="18.75" x14ac:dyDescent="0.3">
      <c r="A516" s="6"/>
      <c r="B516" s="245"/>
      <c r="C516" s="247"/>
      <c r="D516" s="5"/>
      <c r="E516" s="5"/>
      <c r="F516" s="5"/>
      <c r="G516" s="10"/>
      <c r="H516" s="5"/>
      <c r="I516" s="11"/>
    </row>
    <row r="517" spans="1:9" ht="18.75" x14ac:dyDescent="0.3">
      <c r="A517" s="12"/>
      <c r="B517" s="245"/>
      <c r="C517" s="247"/>
      <c r="D517" s="13"/>
      <c r="E517" s="13"/>
      <c r="F517" s="13"/>
      <c r="G517" s="14"/>
      <c r="H517" s="13"/>
      <c r="I517" s="15"/>
    </row>
    <row r="518" spans="1:9" ht="18.75" x14ac:dyDescent="0.3">
      <c r="A518" s="12"/>
      <c r="B518" s="245"/>
      <c r="C518" s="247"/>
      <c r="D518" s="13"/>
      <c r="E518" s="13"/>
      <c r="F518" s="13"/>
      <c r="G518" s="14"/>
      <c r="H518" s="13"/>
      <c r="I518" s="15"/>
    </row>
    <row r="519" spans="1:9" ht="19.5" thickBot="1" x14ac:dyDescent="0.35">
      <c r="A519" s="12"/>
      <c r="B519" s="248"/>
      <c r="C519" s="249"/>
      <c r="D519" s="16"/>
      <c r="E519" s="16"/>
      <c r="F519" s="16"/>
      <c r="G519" s="14"/>
      <c r="H519" s="16"/>
      <c r="I519" s="15"/>
    </row>
    <row r="520" spans="1:9" ht="16.5" thickBot="1" x14ac:dyDescent="0.3">
      <c r="A520" s="194">
        <f>SUM(A497:A519)</f>
        <v>303</v>
      </c>
      <c r="B520" s="262" t="s">
        <v>211</v>
      </c>
      <c r="C520" s="263"/>
      <c r="D520" s="195">
        <f>SUM(D497:D519)</f>
        <v>0</v>
      </c>
      <c r="E520" s="196">
        <f>SUM(E497:E519)</f>
        <v>0</v>
      </c>
      <c r="F520" s="197">
        <f>SUM(F497:F519)</f>
        <v>0</v>
      </c>
      <c r="G520" s="198">
        <f>SUM(G497:G519)</f>
        <v>0</v>
      </c>
      <c r="H520" s="199">
        <f>SUM(H497:H519)</f>
        <v>794</v>
      </c>
      <c r="I520" s="200" t="s">
        <v>213</v>
      </c>
    </row>
    <row r="521" spans="1:9" ht="21" thickBot="1" x14ac:dyDescent="0.3">
      <c r="A521" s="264" t="s">
        <v>314</v>
      </c>
      <c r="B521" s="265"/>
      <c r="C521" s="265"/>
      <c r="D521" s="266"/>
      <c r="E521" s="273">
        <f>H520+G520+F520+E520+D520</f>
        <v>794</v>
      </c>
      <c r="F521" s="274"/>
      <c r="G521" s="274"/>
      <c r="H521" s="275"/>
      <c r="I521" s="236" t="s">
        <v>12</v>
      </c>
    </row>
    <row r="522" spans="1:9" ht="21" thickBot="1" x14ac:dyDescent="0.3">
      <c r="A522" s="267"/>
      <c r="B522" s="268"/>
      <c r="C522" s="268"/>
      <c r="D522" s="269"/>
      <c r="E522" s="273">
        <f>(SUM(H520,G520,F520,E520,D520) - A520)</f>
        <v>491</v>
      </c>
      <c r="F522" s="274"/>
      <c r="G522" s="274"/>
      <c r="H522" s="275"/>
      <c r="I522" s="236" t="s">
        <v>209</v>
      </c>
    </row>
    <row r="523" spans="1:9" ht="21" thickBot="1" x14ac:dyDescent="0.3">
      <c r="A523" s="267"/>
      <c r="B523" s="268"/>
      <c r="C523" s="268"/>
      <c r="D523" s="269"/>
      <c r="E523" s="273">
        <f>H520-A520</f>
        <v>491</v>
      </c>
      <c r="F523" s="274"/>
      <c r="G523" s="274"/>
      <c r="H523" s="275"/>
      <c r="I523" s="236" t="s">
        <v>210</v>
      </c>
    </row>
    <row r="524" spans="1:9" ht="21" thickBot="1" x14ac:dyDescent="0.3">
      <c r="A524" s="270"/>
      <c r="B524" s="271"/>
      <c r="C524" s="271"/>
      <c r="D524" s="272"/>
      <c r="E524" s="273">
        <v>1</v>
      </c>
      <c r="F524" s="274"/>
      <c r="G524" s="274"/>
      <c r="H524" s="275"/>
      <c r="I524" s="236" t="s">
        <v>212</v>
      </c>
    </row>
    <row r="538" spans="1:9" ht="15.75" thickBot="1" x14ac:dyDescent="0.3"/>
    <row r="539" spans="1:9" ht="23.25" thickBot="1" x14ac:dyDescent="0.35">
      <c r="A539" s="251" t="s">
        <v>316</v>
      </c>
      <c r="B539" s="252"/>
      <c r="C539" s="252"/>
      <c r="D539" s="252"/>
      <c r="E539" s="252"/>
      <c r="F539" s="252"/>
      <c r="G539" s="252"/>
      <c r="H539" s="252"/>
      <c r="I539" s="253"/>
    </row>
    <row r="540" spans="1:9" ht="19.5" thickBot="1" x14ac:dyDescent="0.35">
      <c r="A540" s="254" t="s">
        <v>1</v>
      </c>
      <c r="B540" s="255"/>
      <c r="C540" s="255"/>
      <c r="D540" s="254" t="s">
        <v>2</v>
      </c>
      <c r="E540" s="255"/>
      <c r="F540" s="255"/>
      <c r="G540" s="255"/>
      <c r="H540" s="255"/>
      <c r="I540" s="256"/>
    </row>
    <row r="541" spans="1:9" ht="19.5" thickBot="1" x14ac:dyDescent="0.35">
      <c r="A541" s="1" t="s">
        <v>3</v>
      </c>
      <c r="B541" s="257" t="s">
        <v>4</v>
      </c>
      <c r="C541" s="258"/>
      <c r="D541" s="2" t="s">
        <v>5</v>
      </c>
      <c r="E541" s="2" t="s">
        <v>6</v>
      </c>
      <c r="F541" s="2" t="s">
        <v>7</v>
      </c>
      <c r="G541" s="2" t="s">
        <v>8</v>
      </c>
      <c r="H541" s="2" t="s">
        <v>9</v>
      </c>
      <c r="I541" s="238" t="s">
        <v>10</v>
      </c>
    </row>
    <row r="542" spans="1:9" ht="16.5" thickBot="1" x14ac:dyDescent="0.3">
      <c r="A542" s="6"/>
      <c r="B542" s="260"/>
      <c r="C542" s="261"/>
      <c r="D542" s="239"/>
      <c r="E542" s="239"/>
      <c r="F542" s="237"/>
      <c r="G542" s="239"/>
      <c r="H542" s="237"/>
      <c r="I542" s="185"/>
    </row>
    <row r="543" spans="1:9" ht="15.75" x14ac:dyDescent="0.25">
      <c r="A543" s="6"/>
      <c r="B543" s="260"/>
      <c r="C543" s="261"/>
      <c r="D543" s="239"/>
      <c r="E543" s="239"/>
      <c r="F543" s="239"/>
      <c r="G543" s="239"/>
      <c r="H543" s="239"/>
      <c r="I543" s="184"/>
    </row>
    <row r="544" spans="1:9" ht="15.75" x14ac:dyDescent="0.25">
      <c r="A544" s="6"/>
      <c r="B544" s="245"/>
      <c r="C544" s="247"/>
      <c r="D544" s="239"/>
      <c r="E544" s="239"/>
      <c r="F544" s="239"/>
      <c r="G544" s="239"/>
      <c r="H544" s="239"/>
      <c r="I544" s="184"/>
    </row>
    <row r="545" spans="1:9" ht="15.75" x14ac:dyDescent="0.25">
      <c r="A545" s="6"/>
      <c r="B545" s="245"/>
      <c r="C545" s="247"/>
      <c r="D545" s="239"/>
      <c r="E545" s="239"/>
      <c r="F545" s="239"/>
      <c r="G545" s="239"/>
      <c r="H545" s="239"/>
      <c r="I545" s="184"/>
    </row>
    <row r="546" spans="1:9" ht="15.75" x14ac:dyDescent="0.25">
      <c r="A546" s="6"/>
      <c r="B546" s="245"/>
      <c r="C546" s="247"/>
      <c r="D546" s="239"/>
      <c r="E546" s="239"/>
      <c r="F546" s="239"/>
      <c r="H546" s="239"/>
      <c r="I546" s="184"/>
    </row>
    <row r="547" spans="1:9" ht="15.75" x14ac:dyDescent="0.25">
      <c r="A547" s="8"/>
      <c r="B547" s="250"/>
      <c r="C547" s="247"/>
      <c r="D547" s="239"/>
      <c r="E547" s="239"/>
      <c r="F547" s="239"/>
      <c r="G547" s="239"/>
      <c r="H547" s="239"/>
      <c r="I547" s="184"/>
    </row>
    <row r="548" spans="1:9" ht="15.75" x14ac:dyDescent="0.25">
      <c r="A548" s="6"/>
      <c r="B548" s="245"/>
      <c r="C548" s="247"/>
      <c r="D548" s="239"/>
      <c r="E548" s="239"/>
      <c r="F548" s="239"/>
      <c r="G548" s="239"/>
      <c r="H548" s="239"/>
      <c r="I548" s="184"/>
    </row>
    <row r="549" spans="1:9" ht="15.75" x14ac:dyDescent="0.25">
      <c r="A549" s="6"/>
      <c r="B549" s="245"/>
      <c r="C549" s="247"/>
      <c r="D549" s="239"/>
      <c r="E549" s="239"/>
      <c r="F549" s="239"/>
      <c r="G549" s="239"/>
      <c r="H549" s="239"/>
      <c r="I549" s="184"/>
    </row>
    <row r="550" spans="1:9" ht="15.75" x14ac:dyDescent="0.25">
      <c r="A550" s="6"/>
      <c r="B550" s="245"/>
      <c r="C550" s="247"/>
      <c r="D550" s="239"/>
      <c r="E550" s="239"/>
      <c r="F550" s="239"/>
      <c r="G550" s="239"/>
      <c r="H550" s="239"/>
      <c r="I550" s="184"/>
    </row>
    <row r="551" spans="1:9" ht="15.75" x14ac:dyDescent="0.25">
      <c r="A551" s="6"/>
      <c r="B551" s="245"/>
      <c r="C551" s="247"/>
      <c r="D551" s="239"/>
      <c r="E551" s="239"/>
      <c r="F551" s="239"/>
      <c r="G551" s="239"/>
      <c r="H551" s="239"/>
      <c r="I551" s="184"/>
    </row>
    <row r="552" spans="1:9" ht="15.75" x14ac:dyDescent="0.25">
      <c r="A552" s="6"/>
      <c r="B552" s="245"/>
      <c r="C552" s="247"/>
      <c r="D552" s="239"/>
      <c r="E552" s="239"/>
      <c r="F552" s="239"/>
      <c r="G552" s="239"/>
      <c r="H552" s="239"/>
      <c r="I552" s="7"/>
    </row>
    <row r="553" spans="1:9" ht="15.75" x14ac:dyDescent="0.25">
      <c r="A553" s="6"/>
      <c r="B553" s="245"/>
      <c r="C553" s="247"/>
      <c r="D553" s="239"/>
      <c r="E553" s="239"/>
      <c r="F553" s="239"/>
      <c r="G553" s="239"/>
      <c r="H553" s="239"/>
      <c r="I553" s="7"/>
    </row>
    <row r="554" spans="1:9" ht="15.75" x14ac:dyDescent="0.25">
      <c r="A554" s="6"/>
      <c r="B554" s="245"/>
      <c r="C554" s="247"/>
      <c r="D554" s="239"/>
      <c r="E554" s="239"/>
      <c r="F554" s="239"/>
      <c r="G554" s="239"/>
      <c r="H554" s="239"/>
      <c r="I554" s="9"/>
    </row>
    <row r="555" spans="1:9" ht="15.75" x14ac:dyDescent="0.25">
      <c r="A555" s="6"/>
      <c r="B555" s="245"/>
      <c r="C555" s="247"/>
      <c r="D555" s="239"/>
      <c r="E555" s="239"/>
      <c r="F555" s="239"/>
      <c r="G555" s="239"/>
      <c r="H555" s="239"/>
      <c r="I555" s="9"/>
    </row>
    <row r="556" spans="1:9" ht="15.75" x14ac:dyDescent="0.25">
      <c r="A556" s="6"/>
      <c r="B556" s="245"/>
      <c r="C556" s="247"/>
      <c r="D556" s="239"/>
      <c r="E556" s="239"/>
      <c r="F556" s="239"/>
      <c r="G556" s="239"/>
      <c r="H556" s="239"/>
      <c r="I556" s="9"/>
    </row>
    <row r="557" spans="1:9" ht="15.75" x14ac:dyDescent="0.25">
      <c r="A557" s="6"/>
      <c r="B557" s="245"/>
      <c r="C557" s="247"/>
      <c r="D557" s="239"/>
      <c r="E557" s="239"/>
      <c r="F557" s="239"/>
      <c r="G557" s="239"/>
      <c r="H557" s="239"/>
      <c r="I557" s="9"/>
    </row>
    <row r="558" spans="1:9" ht="15.75" x14ac:dyDescent="0.25">
      <c r="A558" s="6"/>
      <c r="B558" s="245"/>
      <c r="C558" s="247"/>
      <c r="D558" s="239"/>
      <c r="E558" s="239"/>
      <c r="F558" s="239"/>
      <c r="G558" s="239"/>
      <c r="H558" s="239"/>
      <c r="I558" s="9"/>
    </row>
    <row r="559" spans="1:9" ht="15.75" x14ac:dyDescent="0.25">
      <c r="A559" s="6"/>
      <c r="B559" s="245"/>
      <c r="C559" s="247"/>
      <c r="D559" s="239"/>
      <c r="E559" s="239"/>
      <c r="F559" s="239"/>
      <c r="G559" s="239" t="s">
        <v>151</v>
      </c>
      <c r="H559" s="239"/>
      <c r="I559" s="9"/>
    </row>
    <row r="560" spans="1:9" ht="15.75" x14ac:dyDescent="0.25">
      <c r="A560" s="6"/>
      <c r="B560" s="245"/>
      <c r="C560" s="247"/>
      <c r="D560" s="239"/>
      <c r="E560" s="239"/>
      <c r="F560" s="239"/>
      <c r="G560" s="239"/>
      <c r="H560" s="239"/>
      <c r="I560" s="9"/>
    </row>
    <row r="561" spans="1:9" ht="18.75" x14ac:dyDescent="0.3">
      <c r="A561" s="6"/>
      <c r="B561" s="245"/>
      <c r="C561" s="247"/>
      <c r="D561" s="5"/>
      <c r="E561" s="5"/>
      <c r="F561" s="5"/>
      <c r="G561" s="10"/>
      <c r="H561" s="5"/>
      <c r="I561" s="11"/>
    </row>
    <row r="562" spans="1:9" ht="18.75" x14ac:dyDescent="0.3">
      <c r="A562" s="12"/>
      <c r="B562" s="245"/>
      <c r="C562" s="247"/>
      <c r="D562" s="13"/>
      <c r="E562" s="13"/>
      <c r="F562" s="13"/>
      <c r="G562" s="14"/>
      <c r="H562" s="13"/>
      <c r="I562" s="15"/>
    </row>
    <row r="563" spans="1:9" ht="18.75" x14ac:dyDescent="0.3">
      <c r="A563" s="12"/>
      <c r="B563" s="245"/>
      <c r="C563" s="247"/>
      <c r="D563" s="13"/>
      <c r="E563" s="13"/>
      <c r="F563" s="13"/>
      <c r="G563" s="14"/>
      <c r="H563" s="13"/>
      <c r="I563" s="15"/>
    </row>
    <row r="564" spans="1:9" ht="19.5" thickBot="1" x14ac:dyDescent="0.35">
      <c r="A564" s="12"/>
      <c r="B564" s="248"/>
      <c r="C564" s="249"/>
      <c r="D564" s="16"/>
      <c r="E564" s="16"/>
      <c r="F564" s="16"/>
      <c r="G564" s="14"/>
      <c r="H564" s="16"/>
      <c r="I564" s="15"/>
    </row>
    <row r="565" spans="1:9" ht="16.5" thickBot="1" x14ac:dyDescent="0.3">
      <c r="A565" s="194">
        <f>SUM(A542:A564)</f>
        <v>0</v>
      </c>
      <c r="B565" s="262" t="s">
        <v>211</v>
      </c>
      <c r="C565" s="263"/>
      <c r="D565" s="195">
        <f>SUM(D542:D564)</f>
        <v>0</v>
      </c>
      <c r="E565" s="196">
        <f>SUM(E542:E564)</f>
        <v>0</v>
      </c>
      <c r="F565" s="197">
        <f>SUM(F542:F564)</f>
        <v>0</v>
      </c>
      <c r="G565" s="198">
        <f>SUM(G542:G564)</f>
        <v>0</v>
      </c>
      <c r="H565" s="199">
        <f>SUM(H542:H564)</f>
        <v>0</v>
      </c>
      <c r="I565" s="200" t="s">
        <v>213</v>
      </c>
    </row>
    <row r="566" spans="1:9" ht="21" thickBot="1" x14ac:dyDescent="0.3">
      <c r="A566" s="264"/>
      <c r="B566" s="265"/>
      <c r="C566" s="265"/>
      <c r="D566" s="266"/>
      <c r="E566" s="273">
        <f>H565+G565+F565+E565+D565</f>
        <v>0</v>
      </c>
      <c r="F566" s="274"/>
      <c r="G566" s="274"/>
      <c r="H566" s="275"/>
      <c r="I566" s="240" t="s">
        <v>12</v>
      </c>
    </row>
    <row r="567" spans="1:9" ht="21" thickBot="1" x14ac:dyDescent="0.3">
      <c r="A567" s="267"/>
      <c r="B567" s="268"/>
      <c r="C567" s="268"/>
      <c r="D567" s="269"/>
      <c r="E567" s="273">
        <f>(SUM(H565,G565,F565,E565,D565) - A565)</f>
        <v>0</v>
      </c>
      <c r="F567" s="274"/>
      <c r="G567" s="274"/>
      <c r="H567" s="275"/>
      <c r="I567" s="240" t="s">
        <v>209</v>
      </c>
    </row>
    <row r="568" spans="1:9" ht="21" thickBot="1" x14ac:dyDescent="0.3">
      <c r="A568" s="267"/>
      <c r="B568" s="268"/>
      <c r="C568" s="268"/>
      <c r="D568" s="269"/>
      <c r="E568" s="273">
        <f>H565-A565</f>
        <v>0</v>
      </c>
      <c r="F568" s="274"/>
      <c r="G568" s="274"/>
      <c r="H568" s="275"/>
      <c r="I568" s="240" t="s">
        <v>210</v>
      </c>
    </row>
    <row r="569" spans="1:9" ht="21" thickBot="1" x14ac:dyDescent="0.3">
      <c r="A569" s="270"/>
      <c r="B569" s="271"/>
      <c r="C569" s="271"/>
      <c r="D569" s="272"/>
      <c r="E569" s="273"/>
      <c r="F569" s="274"/>
      <c r="G569" s="274"/>
      <c r="H569" s="275"/>
      <c r="I569" s="240" t="s">
        <v>212</v>
      </c>
    </row>
  </sheetData>
  <mergeCells count="429">
    <mergeCell ref="B565:C565"/>
    <mergeCell ref="A566:D569"/>
    <mergeCell ref="E566:H566"/>
    <mergeCell ref="E567:H567"/>
    <mergeCell ref="E568:H568"/>
    <mergeCell ref="E569:H569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A539:I539"/>
    <mergeCell ref="A540:C540"/>
    <mergeCell ref="D540:I540"/>
    <mergeCell ref="B541:C541"/>
    <mergeCell ref="B542:C542"/>
    <mergeCell ref="B543:C543"/>
    <mergeCell ref="B544:C544"/>
    <mergeCell ref="B545:C545"/>
    <mergeCell ref="B546:C546"/>
    <mergeCell ref="B520:C520"/>
    <mergeCell ref="A521:D524"/>
    <mergeCell ref="E521:H521"/>
    <mergeCell ref="E522:H522"/>
    <mergeCell ref="E523:H523"/>
    <mergeCell ref="E524:H524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A494:I494"/>
    <mergeCell ref="A495:C495"/>
    <mergeCell ref="D495:I495"/>
    <mergeCell ref="B496:C496"/>
    <mergeCell ref="B497:C497"/>
    <mergeCell ref="B498:C498"/>
    <mergeCell ref="B499:C499"/>
    <mergeCell ref="B500:C500"/>
    <mergeCell ref="B501:C501"/>
    <mergeCell ref="E431:H431"/>
    <mergeCell ref="E432:H432"/>
    <mergeCell ref="E433:H433"/>
    <mergeCell ref="A404:I404"/>
    <mergeCell ref="A405:C405"/>
    <mergeCell ref="D405:I405"/>
    <mergeCell ref="B430:C430"/>
    <mergeCell ref="A431:D434"/>
    <mergeCell ref="E434:H434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06:C406"/>
    <mergeCell ref="B407:C407"/>
    <mergeCell ref="B408:C408"/>
    <mergeCell ref="B409:C409"/>
    <mergeCell ref="B410:C410"/>
    <mergeCell ref="B411:C411"/>
    <mergeCell ref="B295:C295"/>
    <mergeCell ref="A296:D299"/>
    <mergeCell ref="E296:H296"/>
    <mergeCell ref="E297:H297"/>
    <mergeCell ref="E298:H298"/>
    <mergeCell ref="E299:H299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A269:I269"/>
    <mergeCell ref="A270:C270"/>
    <mergeCell ref="D270:I270"/>
    <mergeCell ref="B271:C271"/>
    <mergeCell ref="B272:C272"/>
    <mergeCell ref="B273:C273"/>
    <mergeCell ref="B274:C274"/>
    <mergeCell ref="B275:C275"/>
    <mergeCell ref="B276:C276"/>
    <mergeCell ref="B158:C158"/>
    <mergeCell ref="B159:C159"/>
    <mergeCell ref="B160:C160"/>
    <mergeCell ref="A161:D164"/>
    <mergeCell ref="E161:H161"/>
    <mergeCell ref="E162:H162"/>
    <mergeCell ref="E163:H163"/>
    <mergeCell ref="E164:H164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A134:I134"/>
    <mergeCell ref="A135:C135"/>
    <mergeCell ref="D135:I135"/>
    <mergeCell ref="B136:C136"/>
    <mergeCell ref="B137:C137"/>
    <mergeCell ref="E30:H30"/>
    <mergeCell ref="E31:H31"/>
    <mergeCell ref="A29:D32"/>
    <mergeCell ref="E32:H32"/>
    <mergeCell ref="B25:C25"/>
    <mergeCell ref="B26:C26"/>
    <mergeCell ref="B27:C27"/>
    <mergeCell ref="B28:C28"/>
    <mergeCell ref="E29:H29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A2:I2"/>
    <mergeCell ref="A3:C3"/>
    <mergeCell ref="D3:I3"/>
    <mergeCell ref="B4:C4"/>
    <mergeCell ref="B5:C5"/>
    <mergeCell ref="B6:C6"/>
    <mergeCell ref="B7:C7"/>
    <mergeCell ref="B8:C8"/>
    <mergeCell ref="B9:C9"/>
    <mergeCell ref="B10:C10"/>
    <mergeCell ref="B11:C11"/>
    <mergeCell ref="A44:I44"/>
    <mergeCell ref="A45:C45"/>
    <mergeCell ref="D45:I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A71:D74"/>
    <mergeCell ref="E71:H71"/>
    <mergeCell ref="E72:H72"/>
    <mergeCell ref="E73:H73"/>
    <mergeCell ref="E74:H74"/>
    <mergeCell ref="A89:I89"/>
    <mergeCell ref="A90:C90"/>
    <mergeCell ref="D90:I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A116:D119"/>
    <mergeCell ref="E116:H116"/>
    <mergeCell ref="E117:H117"/>
    <mergeCell ref="E118:H118"/>
    <mergeCell ref="E119:H119"/>
    <mergeCell ref="A179:I179"/>
    <mergeCell ref="A180:C180"/>
    <mergeCell ref="D180:I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A206:D209"/>
    <mergeCell ref="E206:H206"/>
    <mergeCell ref="E207:H207"/>
    <mergeCell ref="E208:H208"/>
    <mergeCell ref="E209:H209"/>
    <mergeCell ref="A224:I224"/>
    <mergeCell ref="A225:C225"/>
    <mergeCell ref="D225:I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A251:D254"/>
    <mergeCell ref="E251:H251"/>
    <mergeCell ref="E252:H252"/>
    <mergeCell ref="E253:H253"/>
    <mergeCell ref="E254:H254"/>
    <mergeCell ref="A314:I314"/>
    <mergeCell ref="A315:C315"/>
    <mergeCell ref="D315:I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40:C340"/>
    <mergeCell ref="A341:D344"/>
    <mergeCell ref="E341:H341"/>
    <mergeCell ref="E342:H342"/>
    <mergeCell ref="E343:H343"/>
    <mergeCell ref="E344:H344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A359:I359"/>
    <mergeCell ref="A360:C360"/>
    <mergeCell ref="D360:I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85:C385"/>
    <mergeCell ref="A386:D389"/>
    <mergeCell ref="E386:H386"/>
    <mergeCell ref="E387:H387"/>
    <mergeCell ref="E388:H388"/>
    <mergeCell ref="E389:H389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A449:I449"/>
    <mergeCell ref="A450:C450"/>
    <mergeCell ref="D450:I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75:C475"/>
    <mergeCell ref="A476:D479"/>
    <mergeCell ref="E476:H476"/>
    <mergeCell ref="E477:H477"/>
    <mergeCell ref="E478:H478"/>
    <mergeCell ref="E479:H479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شهر 6</vt:lpstr>
      <vt:lpstr>شهر 7</vt:lpstr>
      <vt:lpstr>شهر 8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KAFAWEEN</dc:creator>
  <cp:keywords/>
  <dc:description/>
  <cp:lastModifiedBy>T.G</cp:lastModifiedBy>
  <cp:revision/>
  <cp:lastPrinted>2026-08-09T19:18:09Z</cp:lastPrinted>
  <dcterms:created xsi:type="dcterms:W3CDTF">2026-06-21T09:41:22Z</dcterms:created>
  <dcterms:modified xsi:type="dcterms:W3CDTF">2026-08-10T06:34:32Z</dcterms:modified>
  <cp:category/>
  <cp:contentStatus/>
</cp:coreProperties>
</file>