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8800" windowHeight="14130" tabRatio="788" activeTab="11"/>
  </bookViews>
  <sheets>
    <sheet name="LG" sheetId="13" r:id="rId1"/>
    <sheet name="KELON" sheetId="14" r:id="rId2"/>
    <sheet name="AUX" sheetId="11" r:id="rId3"/>
    <sheet name="goldsky" sheetId="10" r:id="rId4"/>
    <sheet name="TCL" sheetId="12" r:id="rId5"/>
    <sheet name="   samsung" sheetId="9" r:id="rId6"/>
    <sheet name="HAIER R" sheetId="19" r:id="rId7"/>
    <sheet name="مراوح" sheetId="22" r:id="rId8"/>
    <sheet name=" مكيفات صحراوي" sheetId="21" r:id="rId9"/>
    <sheet name=" HAIER DAIMOND " sheetId="1" r:id="rId10"/>
    <sheet name="HAIER PREMIUM" sheetId="18" r:id="rId11"/>
    <sheet name="GREE" sheetId="16" r:id="rId12"/>
    <sheet name="GENERAL PRO" sheetId="17" r:id="rId13"/>
    <sheet name="MEDIA" sheetId="15" r:id="rId14"/>
    <sheet name="GENERAL DELUX" sheetId="23" r:id="rId15"/>
    <sheet name="NASMA)" sheetId="24" r:id="rId16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3" l="1"/>
  <c r="F4" i="24" l="1"/>
  <c r="B12" i="1" l="1"/>
  <c r="F5" i="23" l="1"/>
  <c r="F4" i="23"/>
  <c r="C64" i="24" l="1"/>
  <c r="B64" i="24"/>
  <c r="I63" i="24"/>
  <c r="E65" i="24" s="1"/>
  <c r="I43" i="24"/>
  <c r="E44" i="24" s="1"/>
  <c r="C43" i="24"/>
  <c r="B43" i="24"/>
  <c r="I18" i="24"/>
  <c r="C18" i="24"/>
  <c r="B18" i="24"/>
  <c r="E19" i="24" l="1"/>
  <c r="J4" i="23"/>
  <c r="C64" i="23"/>
  <c r="B64" i="23"/>
  <c r="I63" i="23"/>
  <c r="I43" i="23"/>
  <c r="E44" i="23" s="1"/>
  <c r="C43" i="23"/>
  <c r="B43" i="23"/>
  <c r="I18" i="23"/>
  <c r="C18" i="23"/>
  <c r="B18" i="23"/>
  <c r="E19" i="23" l="1"/>
  <c r="E65" i="23"/>
  <c r="B37" i="1"/>
  <c r="I132" i="22" l="1"/>
  <c r="C132" i="22"/>
  <c r="E133" i="22" s="1"/>
  <c r="B132" i="22"/>
  <c r="I110" i="22"/>
  <c r="C110" i="22"/>
  <c r="B110" i="22"/>
  <c r="I88" i="22"/>
  <c r="C88" i="22"/>
  <c r="B88" i="22"/>
  <c r="I65" i="22"/>
  <c r="C65" i="22"/>
  <c r="B65" i="22"/>
  <c r="I42" i="22"/>
  <c r="E43" i="22" s="1"/>
  <c r="C42" i="22"/>
  <c r="B42" i="22"/>
  <c r="I19" i="22"/>
  <c r="C19" i="22"/>
  <c r="B19" i="22"/>
  <c r="I132" i="21"/>
  <c r="E133" i="21" s="1"/>
  <c r="C132" i="21"/>
  <c r="B132" i="21"/>
  <c r="I110" i="21"/>
  <c r="C110" i="21"/>
  <c r="B110" i="21"/>
  <c r="I88" i="21"/>
  <c r="E89" i="21" s="1"/>
  <c r="C88" i="21"/>
  <c r="B88" i="21"/>
  <c r="I65" i="21"/>
  <c r="E66" i="21" s="1"/>
  <c r="C65" i="21"/>
  <c r="B65" i="21"/>
  <c r="I42" i="21"/>
  <c r="E43" i="21" s="1"/>
  <c r="C42" i="21"/>
  <c r="B42" i="21"/>
  <c r="I19" i="21"/>
  <c r="C19" i="21"/>
  <c r="B19" i="21"/>
  <c r="E20" i="22" l="1"/>
  <c r="E66" i="22"/>
  <c r="E89" i="22"/>
  <c r="E111" i="22"/>
  <c r="E111" i="21"/>
  <c r="E20" i="21"/>
  <c r="C64" i="18"/>
  <c r="C64" i="19"/>
  <c r="B64" i="19"/>
  <c r="I63" i="19"/>
  <c r="E65" i="19" s="1"/>
  <c r="I43" i="19"/>
  <c r="E44" i="19" s="1"/>
  <c r="C43" i="19"/>
  <c r="B43" i="19"/>
  <c r="I18" i="19"/>
  <c r="C18" i="19"/>
  <c r="B18" i="19"/>
  <c r="C65" i="1"/>
  <c r="C64" i="17"/>
  <c r="B64" i="18"/>
  <c r="I63" i="18"/>
  <c r="I43" i="18"/>
  <c r="C43" i="18"/>
  <c r="B43" i="18"/>
  <c r="I18" i="18"/>
  <c r="C18" i="18"/>
  <c r="B18" i="18"/>
  <c r="C64" i="16"/>
  <c r="B64" i="17"/>
  <c r="I63" i="17"/>
  <c r="E65" i="17" s="1"/>
  <c r="I43" i="17"/>
  <c r="C43" i="17"/>
  <c r="E44" i="17" s="1"/>
  <c r="B43" i="17"/>
  <c r="I18" i="17"/>
  <c r="C18" i="17"/>
  <c r="E19" i="17" s="1"/>
  <c r="B18" i="17"/>
  <c r="C64" i="15"/>
  <c r="E65" i="15"/>
  <c r="B64" i="16"/>
  <c r="I63" i="16"/>
  <c r="E65" i="16" s="1"/>
  <c r="I43" i="16"/>
  <c r="C43" i="16"/>
  <c r="B43" i="16"/>
  <c r="I18" i="16"/>
  <c r="C18" i="16"/>
  <c r="B18" i="16"/>
  <c r="B64" i="15"/>
  <c r="I63" i="15"/>
  <c r="I43" i="15"/>
  <c r="C43" i="15"/>
  <c r="B43" i="15"/>
  <c r="I18" i="15"/>
  <c r="C18" i="15"/>
  <c r="E19" i="15" s="1"/>
  <c r="B18" i="15"/>
  <c r="C64" i="14"/>
  <c r="B64" i="14"/>
  <c r="I63" i="14"/>
  <c r="E65" i="14" s="1"/>
  <c r="I43" i="14"/>
  <c r="E44" i="14" s="1"/>
  <c r="C43" i="14"/>
  <c r="B43" i="14"/>
  <c r="I18" i="14"/>
  <c r="E19" i="14" s="1"/>
  <c r="C18" i="14"/>
  <c r="B18" i="14"/>
  <c r="C64" i="13"/>
  <c r="B64" i="13"/>
  <c r="I63" i="13"/>
  <c r="E65" i="13" s="1"/>
  <c r="I43" i="13"/>
  <c r="E44" i="13" s="1"/>
  <c r="C43" i="13"/>
  <c r="B43" i="13"/>
  <c r="I18" i="13"/>
  <c r="E19" i="13" s="1"/>
  <c r="C18" i="13"/>
  <c r="B18" i="13"/>
  <c r="E65" i="12"/>
  <c r="C64" i="12"/>
  <c r="B64" i="12"/>
  <c r="I63" i="12"/>
  <c r="I43" i="12"/>
  <c r="C43" i="12"/>
  <c r="E44" i="12" s="1"/>
  <c r="B43" i="12"/>
  <c r="I18" i="12"/>
  <c r="C18" i="12"/>
  <c r="E19" i="12" s="1"/>
  <c r="B18" i="12"/>
  <c r="E65" i="11"/>
  <c r="C64" i="11"/>
  <c r="B64" i="11"/>
  <c r="I63" i="11"/>
  <c r="I43" i="11"/>
  <c r="C43" i="11"/>
  <c r="E44" i="11" s="1"/>
  <c r="B43" i="11"/>
  <c r="I18" i="11"/>
  <c r="C18" i="11"/>
  <c r="B18" i="11"/>
  <c r="C64" i="10"/>
  <c r="B64" i="10"/>
  <c r="I63" i="10"/>
  <c r="E65" i="10" s="1"/>
  <c r="I43" i="10"/>
  <c r="E44" i="10" s="1"/>
  <c r="C43" i="10"/>
  <c r="B43" i="10"/>
  <c r="I18" i="10"/>
  <c r="E19" i="10" s="1"/>
  <c r="C18" i="10"/>
  <c r="B18" i="10"/>
  <c r="C64" i="9"/>
  <c r="B64" i="9"/>
  <c r="I63" i="9"/>
  <c r="I43" i="9"/>
  <c r="C43" i="9"/>
  <c r="B43" i="9"/>
  <c r="I18" i="9"/>
  <c r="C18" i="9"/>
  <c r="B18" i="9"/>
  <c r="E19" i="16" l="1"/>
  <c r="E44" i="16"/>
  <c r="E44" i="18"/>
  <c r="E19" i="19"/>
  <c r="E19" i="18"/>
  <c r="E65" i="18"/>
  <c r="E44" i="15"/>
  <c r="E19" i="11"/>
  <c r="E19" i="9"/>
  <c r="E44" i="9"/>
  <c r="E65" i="9"/>
  <c r="I64" i="1"/>
  <c r="B65" i="1"/>
  <c r="C44" i="1"/>
  <c r="I44" i="1"/>
  <c r="B44" i="1"/>
  <c r="E66" i="1" l="1"/>
  <c r="E45" i="1"/>
  <c r="I19" i="1"/>
  <c r="B19" i="1"/>
  <c r="C19" i="1"/>
  <c r="E20" i="1" l="1"/>
</calcChain>
</file>

<file path=xl/sharedStrings.xml><?xml version="1.0" encoding="utf-8"?>
<sst xmlns="http://schemas.openxmlformats.org/spreadsheetml/2006/main" count="1008" uniqueCount="154">
  <si>
    <t xml:space="preserve">صادر </t>
  </si>
  <si>
    <t xml:space="preserve">اليوم </t>
  </si>
  <si>
    <t>التاريخ</t>
  </si>
  <si>
    <t>الكمية</t>
  </si>
  <si>
    <t xml:space="preserve">التاريخ </t>
  </si>
  <si>
    <t xml:space="preserve">الزبون </t>
  </si>
  <si>
    <t>الوارد</t>
  </si>
  <si>
    <t>هاير دايموند 1 طن</t>
  </si>
  <si>
    <t>ملاحظات</t>
  </si>
  <si>
    <t>الاثنين</t>
  </si>
  <si>
    <t>العنوان</t>
  </si>
  <si>
    <t>هاير دايموند 1.5 طن</t>
  </si>
  <si>
    <t>هاير دايموند 2 طن</t>
  </si>
  <si>
    <t>رصيد</t>
  </si>
  <si>
    <t>المبلغ</t>
  </si>
  <si>
    <t>ذمم</t>
  </si>
  <si>
    <t>الثلاثاء</t>
  </si>
  <si>
    <t>السبت</t>
  </si>
  <si>
    <t xml:space="preserve">دكتور فراس الرواشدة </t>
  </si>
  <si>
    <t>واصل KF9</t>
  </si>
  <si>
    <t>ابراهيم الصرايرة</t>
  </si>
  <si>
    <t xml:space="preserve">مؤتة </t>
  </si>
  <si>
    <t xml:space="preserve">البشابشة </t>
  </si>
  <si>
    <t xml:space="preserve">ليث مهند ابو تيفور </t>
  </si>
  <si>
    <t>الثنية الصبحيات</t>
  </si>
  <si>
    <t>ناقص 25 اجور تركيب</t>
  </si>
  <si>
    <t>رقم الفاتورة</t>
  </si>
  <si>
    <t>الجديدة</t>
  </si>
  <si>
    <t>الثنية</t>
  </si>
  <si>
    <t xml:space="preserve">الطفيلة </t>
  </si>
  <si>
    <t xml:space="preserve">حساب واصل </t>
  </si>
  <si>
    <t xml:space="preserve">الشهابية </t>
  </si>
  <si>
    <t>اسامة مفلح  النواصرة</t>
  </si>
  <si>
    <t>الراشدية</t>
  </si>
  <si>
    <t>الحي الشرقي</t>
  </si>
  <si>
    <t xml:space="preserve">حديقة باندا </t>
  </si>
  <si>
    <t xml:space="preserve">الثلاثاء </t>
  </si>
  <si>
    <t>عمر الطراونة</t>
  </si>
  <si>
    <t>واصل KF9 200</t>
  </si>
  <si>
    <t>الاربعاء</t>
  </si>
  <si>
    <t>حديقة المزار</t>
  </si>
  <si>
    <t>الاحد</t>
  </si>
  <si>
    <t xml:space="preserve">محل اواعي </t>
  </si>
  <si>
    <t>مؤتة</t>
  </si>
  <si>
    <t>ابو حمور</t>
  </si>
  <si>
    <t>محل المنشية</t>
  </si>
  <si>
    <t xml:space="preserve">واصل KF9 </t>
  </si>
  <si>
    <t xml:space="preserve">الاثنين </t>
  </si>
  <si>
    <t>علاء المطارنة</t>
  </si>
  <si>
    <t xml:space="preserve">المرج </t>
  </si>
  <si>
    <t xml:space="preserve">نادي راكين </t>
  </si>
  <si>
    <t xml:space="preserve">شك 960 </t>
  </si>
  <si>
    <t>من غير تركيب</t>
  </si>
  <si>
    <t>الشعلان</t>
  </si>
  <si>
    <t>سامسونج 1 طن</t>
  </si>
  <si>
    <t>سامسونج 1.5 طن</t>
  </si>
  <si>
    <t>سامسونج 2 طن</t>
  </si>
  <si>
    <t>الخميس</t>
  </si>
  <si>
    <t>جولد سكاي 1 طن</t>
  </si>
  <si>
    <t>جولد سكاي  1.5 طن</t>
  </si>
  <si>
    <t>جولد سكاي  2 طن</t>
  </si>
  <si>
    <t>اوكس 1 طن</t>
  </si>
  <si>
    <t>اوكس  1.5 طن</t>
  </si>
  <si>
    <t>اوكس  2 طن</t>
  </si>
  <si>
    <t>تسل 1 طن</t>
  </si>
  <si>
    <t>تسل  1.5 طن</t>
  </si>
  <si>
    <t>تسل  2 طن</t>
  </si>
  <si>
    <t>LG 1 طن</t>
  </si>
  <si>
    <t>LG  1.5 طن</t>
  </si>
  <si>
    <t>LG  2 طن</t>
  </si>
  <si>
    <t>كيلون 1 طن</t>
  </si>
  <si>
    <t>كيلون  1.5 طن</t>
  </si>
  <si>
    <t>كيلون  2 طن</t>
  </si>
  <si>
    <t>ابو كريم</t>
  </si>
  <si>
    <t>كفربا</t>
  </si>
  <si>
    <t xml:space="preserve">مهند مهاوش </t>
  </si>
  <si>
    <t xml:space="preserve"> </t>
  </si>
  <si>
    <t>جري  2 طن</t>
  </si>
  <si>
    <t>جري  1.5 طن</t>
  </si>
  <si>
    <t>جري 1 طن</t>
  </si>
  <si>
    <t xml:space="preserve">بركات النوايسة </t>
  </si>
  <si>
    <t xml:space="preserve">المزار </t>
  </si>
  <si>
    <t>كفالة ب 24/6</t>
  </si>
  <si>
    <t>ليث ابوو تيفور</t>
  </si>
  <si>
    <t>ميديا 1 طن</t>
  </si>
  <si>
    <t>ميديا  1.5 طن</t>
  </si>
  <si>
    <t>ميديا  2 طن</t>
  </si>
  <si>
    <t>جينيرال برو 1 طن</t>
  </si>
  <si>
    <t>جينيرال برو   1.5 طن</t>
  </si>
  <si>
    <t>جينيرال برو   2 طن</t>
  </si>
  <si>
    <t>الجدعه</t>
  </si>
  <si>
    <t>30 تركيب</t>
  </si>
  <si>
    <t>المهندس خالد النوايسة</t>
  </si>
  <si>
    <t xml:space="preserve">الخميس </t>
  </si>
  <si>
    <t>عي</t>
  </si>
  <si>
    <t xml:space="preserve">اية جويحان </t>
  </si>
  <si>
    <t xml:space="preserve">الثنية </t>
  </si>
  <si>
    <t>عنود ام شهم</t>
  </si>
  <si>
    <t xml:space="preserve">الغور </t>
  </si>
  <si>
    <t>تركيب المنشية</t>
  </si>
  <si>
    <t>بريميوم 1 طن</t>
  </si>
  <si>
    <t>بريميوم  1.5 طن</t>
  </si>
  <si>
    <t>بريميوم  2 طن</t>
  </si>
  <si>
    <t>حمدوالجعافرة</t>
  </si>
  <si>
    <t>الحويه</t>
  </si>
  <si>
    <t>ريفيف  1.5 طن</t>
  </si>
  <si>
    <t>ريفيف 1 طن</t>
  </si>
  <si>
    <t>ريفيف  2 طن</t>
  </si>
  <si>
    <t>المدادحة</t>
  </si>
  <si>
    <t>زحوم</t>
  </si>
  <si>
    <t xml:space="preserve">مكيف صحراوي 35L  </t>
  </si>
  <si>
    <t xml:space="preserve">مكيف صحراوي 40L  </t>
  </si>
  <si>
    <t xml:space="preserve">مروحة NFR  </t>
  </si>
  <si>
    <t xml:space="preserve">مروحة SFR  </t>
  </si>
  <si>
    <t xml:space="preserve">مروحة LFR </t>
  </si>
  <si>
    <t>مروحة حائط WFR</t>
  </si>
  <si>
    <t xml:space="preserve">قاتلة حشرات 10 واط  </t>
  </si>
  <si>
    <t xml:space="preserve">قاتلة حشرات 15 واط  </t>
  </si>
  <si>
    <t xml:space="preserve">مكيف صحراوي 25L </t>
  </si>
  <si>
    <t>عوض بني عطية</t>
  </si>
  <si>
    <t>القطرانة</t>
  </si>
  <si>
    <t xml:space="preserve">لم يدفع </t>
  </si>
  <si>
    <t xml:space="preserve">مكيف صحراوي  B 90L  </t>
  </si>
  <si>
    <t xml:space="preserve">مكيف صحراوي S 80L  </t>
  </si>
  <si>
    <t xml:space="preserve">مكيف صحراوي S 100L  </t>
  </si>
  <si>
    <t>ذمة</t>
  </si>
  <si>
    <t>مسجد محي</t>
  </si>
  <si>
    <t>شيك</t>
  </si>
  <si>
    <t>محمد الغورني</t>
  </si>
  <si>
    <t>الغور</t>
  </si>
  <si>
    <t>احمد العتيق</t>
  </si>
  <si>
    <t>الكرك</t>
  </si>
  <si>
    <t>علي الذنيبات</t>
  </si>
  <si>
    <t xml:space="preserve">  اذا</t>
  </si>
  <si>
    <t>19/07</t>
  </si>
  <si>
    <t>23/07</t>
  </si>
  <si>
    <t>22/07</t>
  </si>
  <si>
    <t>جينيرال ديلوكس 1 طن</t>
  </si>
  <si>
    <t>جينيرال ديلوكس  1.5 طن</t>
  </si>
  <si>
    <t>جينيرال ديلوكس  2 طن</t>
  </si>
  <si>
    <t xml:space="preserve">الجمعة </t>
  </si>
  <si>
    <t>الجمعة</t>
  </si>
  <si>
    <t>نسمه 1 طنن</t>
  </si>
  <si>
    <t>نسمه  2 طن</t>
  </si>
  <si>
    <t>نسمه  1.5 طن</t>
  </si>
  <si>
    <t>ابراهيم القطاونة</t>
  </si>
  <si>
    <t>الصبحيات</t>
  </si>
  <si>
    <t>بشار الرواشدة</t>
  </si>
  <si>
    <t>بدون تركيب 0799353619</t>
  </si>
  <si>
    <t>د سيف بديرات</t>
  </si>
  <si>
    <t>الارببعاء</t>
  </si>
  <si>
    <t>معن المجالي</t>
  </si>
  <si>
    <t>ابو فيصل / نجلاء</t>
  </si>
  <si>
    <t>العبدلية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</si>
</sst>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 Black"/>
      <family val="2"/>
    </font>
    <font>
      <b/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49" zoomScaleNormal="100" workbookViewId="0">
      <selection activeCell="A4" sqref="A4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67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2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2</v>
      </c>
      <c r="J18" s="10"/>
      <c r="K18" s="10"/>
    </row>
    <row r="19" spans="1:11" ht="22.5" x14ac:dyDescent="0.45">
      <c r="C19" s="12"/>
      <c r="D19" s="12"/>
      <c r="E19" s="10">
        <f>I18-C18</f>
        <v>2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68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>
        <v>269036809</v>
      </c>
      <c r="I26" s="10">
        <v>2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2</v>
      </c>
      <c r="J43" s="10"/>
      <c r="K43" s="10"/>
    </row>
    <row r="44" spans="1:11" ht="22.5" x14ac:dyDescent="0.45">
      <c r="C44" s="12"/>
      <c r="D44" s="12"/>
      <c r="E44" s="10">
        <f>I43-C43</f>
        <v>2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69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>
        <v>269036809</v>
      </c>
      <c r="I49" s="10">
        <v>2</v>
      </c>
      <c r="J49" s="4">
        <v>46156</v>
      </c>
      <c r="K49" s="10" t="s">
        <v>57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2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2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55" zoomScaleNormal="100" workbookViewId="0">
      <selection activeCell="M50" sqref="M50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1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1</v>
      </c>
      <c r="J18" s="10"/>
      <c r="K18" s="10"/>
    </row>
    <row r="19" spans="1:11" ht="22.5" x14ac:dyDescent="0.45">
      <c r="C19" s="12"/>
      <c r="D19" s="12"/>
      <c r="E19" s="10">
        <f>I18-C18</f>
        <v>1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71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>
        <v>269036809</v>
      </c>
      <c r="I26" s="10">
        <v>1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1</v>
      </c>
      <c r="J43" s="10"/>
      <c r="K43" s="10"/>
    </row>
    <row r="44" spans="1:11" ht="22.5" x14ac:dyDescent="0.45">
      <c r="C44" s="12"/>
      <c r="D44" s="12"/>
      <c r="E44" s="10">
        <f>I43-C43</f>
        <v>1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72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>
        <v>269036809</v>
      </c>
      <c r="I49" s="10">
        <v>1</v>
      </c>
      <c r="J49" s="4">
        <v>46156</v>
      </c>
      <c r="K49" s="10" t="s">
        <v>57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1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1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Normal="100" workbookViewId="0">
      <selection activeCell="E54" sqref="E54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61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3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3</v>
      </c>
      <c r="J18" s="10"/>
      <c r="K18" s="10"/>
    </row>
    <row r="19" spans="1:11" ht="22.5" x14ac:dyDescent="0.45">
      <c r="C19" s="12"/>
      <c r="D19" s="12"/>
      <c r="E19" s="10">
        <f>I18-C18</f>
        <v>3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62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>
        <v>269036809</v>
      </c>
      <c r="I26" s="10">
        <v>3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3</v>
      </c>
      <c r="J43" s="10"/>
      <c r="K43" s="10"/>
    </row>
    <row r="44" spans="1:11" ht="22.5" x14ac:dyDescent="0.45">
      <c r="C44" s="12"/>
      <c r="D44" s="12"/>
      <c r="E44" s="10">
        <f>I43-C43</f>
        <v>3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63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>
        <v>269036809</v>
      </c>
      <c r="I49" s="10">
        <v>3</v>
      </c>
      <c r="J49" s="4">
        <v>46156</v>
      </c>
      <c r="K49" s="10" t="s">
        <v>57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3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3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64" zoomScaleNormal="100" workbookViewId="0">
      <selection activeCell="K31" sqref="K31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58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3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3</v>
      </c>
      <c r="J18" s="10"/>
      <c r="K18" s="10"/>
    </row>
    <row r="19" spans="1:11" ht="22.5" x14ac:dyDescent="0.45">
      <c r="C19" s="12"/>
      <c r="D19" s="12"/>
      <c r="E19" s="10">
        <f>I18-C18</f>
        <v>3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59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>
        <v>269036809</v>
      </c>
      <c r="I26" s="10">
        <v>3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3</v>
      </c>
      <c r="J43" s="10"/>
      <c r="K43" s="10"/>
    </row>
    <row r="44" spans="1:11" ht="22.5" x14ac:dyDescent="0.45">
      <c r="C44" s="12"/>
      <c r="D44" s="12"/>
      <c r="E44" s="10">
        <f>I43-C43</f>
        <v>3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60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>
        <v>269036809</v>
      </c>
      <c r="I49" s="10">
        <v>3</v>
      </c>
      <c r="J49" s="4">
        <v>46156</v>
      </c>
      <c r="K49" s="10" t="s">
        <v>57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3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3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Normal="100" workbookViewId="0">
      <selection activeCell="E73" sqref="E73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64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3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3</v>
      </c>
      <c r="J18" s="10"/>
      <c r="K18" s="10"/>
    </row>
    <row r="19" spans="1:11" ht="22.5" x14ac:dyDescent="0.45">
      <c r="C19" s="12"/>
      <c r="D19" s="12"/>
      <c r="E19" s="10">
        <f>I18-C18</f>
        <v>3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65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>
        <v>269036809</v>
      </c>
      <c r="I26" s="10">
        <v>3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3</v>
      </c>
      <c r="J43" s="10"/>
      <c r="K43" s="10"/>
    </row>
    <row r="44" spans="1:11" ht="22.5" x14ac:dyDescent="0.45">
      <c r="C44" s="12"/>
      <c r="D44" s="12"/>
      <c r="E44" s="10">
        <f>I43-C43</f>
        <v>3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66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>
        <v>269036809</v>
      </c>
      <c r="I49" s="10">
        <v>3</v>
      </c>
      <c r="J49" s="4">
        <v>46156</v>
      </c>
      <c r="K49" s="10" t="s">
        <v>57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3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3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Normal="100" workbookViewId="0">
      <selection activeCell="A20" sqref="A20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2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2</v>
      </c>
      <c r="J18" s="10"/>
      <c r="K18" s="10"/>
    </row>
    <row r="19" spans="1:11" ht="22.5" x14ac:dyDescent="0.45">
      <c r="C19" s="12"/>
      <c r="D19" s="12"/>
      <c r="E19" s="10">
        <f>I18-C18</f>
        <v>2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55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>
        <v>269036809</v>
      </c>
      <c r="I26" s="10">
        <v>2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2</v>
      </c>
      <c r="J43" s="10"/>
      <c r="K43" s="10"/>
    </row>
    <row r="44" spans="1:11" ht="22.5" x14ac:dyDescent="0.45">
      <c r="C44" s="12"/>
      <c r="D44" s="12"/>
      <c r="E44" s="10">
        <f>I43-C43</f>
        <v>2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56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>
        <v>269036809</v>
      </c>
      <c r="I49" s="10">
        <v>2</v>
      </c>
      <c r="J49" s="4">
        <v>46156</v>
      </c>
      <c r="K49" s="10" t="s">
        <v>57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2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2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Normal="100" workbookViewId="0">
      <selection activeCell="C4" sqref="C4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106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>
        <v>1</v>
      </c>
      <c r="D4" s="10"/>
      <c r="E4" s="10"/>
      <c r="F4" s="4"/>
      <c r="G4" s="15"/>
      <c r="H4" s="10">
        <v>866</v>
      </c>
      <c r="I4" s="10">
        <v>2</v>
      </c>
      <c r="J4" s="4">
        <v>46159</v>
      </c>
      <c r="K4" s="10" t="s">
        <v>41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1</v>
      </c>
      <c r="D18" s="10"/>
      <c r="E18" s="10"/>
      <c r="F18" s="10"/>
      <c r="G18" s="10"/>
      <c r="H18" s="10"/>
      <c r="I18" s="10">
        <f>SUM(I4:I17)</f>
        <v>2</v>
      </c>
      <c r="J18" s="10"/>
      <c r="K18" s="10"/>
    </row>
    <row r="19" spans="1:11" ht="22.5" x14ac:dyDescent="0.45">
      <c r="C19" s="12"/>
      <c r="D19" s="12"/>
      <c r="E19" s="10">
        <f>I18-C18</f>
        <v>1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105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/>
      <c r="I26" s="10"/>
      <c r="J26" s="4"/>
      <c r="K26" s="10"/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0</v>
      </c>
      <c r="J43" s="10"/>
      <c r="K43" s="10"/>
    </row>
    <row r="44" spans="1:11" ht="22.5" x14ac:dyDescent="0.45">
      <c r="C44" s="12"/>
      <c r="D44" s="12"/>
      <c r="E44" s="10">
        <f>I43-C43</f>
        <v>0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107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/>
      <c r="C49" s="10"/>
      <c r="D49" s="10"/>
      <c r="E49" s="10"/>
      <c r="F49" s="4"/>
      <c r="G49" s="10"/>
      <c r="H49" s="10"/>
      <c r="I49" s="10"/>
      <c r="J49" s="4"/>
      <c r="K49" s="10"/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0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SUM(C50:C63)</f>
        <v>0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0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Views>
    <sheetView zoomScaleNormal="100" workbookViewId="0">
      <selection activeCell="O9" sqref="O9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4" t="s">
        <v>112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7" t="s">
        <v>3</v>
      </c>
      <c r="D3" s="17" t="s">
        <v>10</v>
      </c>
      <c r="E3" s="17" t="s">
        <v>5</v>
      </c>
      <c r="F3" s="17" t="s">
        <v>4</v>
      </c>
      <c r="G3" s="17" t="s">
        <v>1</v>
      </c>
      <c r="H3" s="17" t="s">
        <v>26</v>
      </c>
      <c r="I3" s="17" t="s">
        <v>3</v>
      </c>
      <c r="J3" s="17" t="s">
        <v>2</v>
      </c>
      <c r="K3" s="17" t="s">
        <v>1</v>
      </c>
    </row>
    <row r="4" spans="1:11" s="5" customFormat="1" ht="22.5" x14ac:dyDescent="0.45">
      <c r="A4" s="3"/>
      <c r="B4" s="3"/>
      <c r="C4" s="17">
        <v>2</v>
      </c>
      <c r="D4" s="17"/>
      <c r="E4" s="17"/>
      <c r="F4" s="4"/>
      <c r="G4" s="15"/>
      <c r="H4" s="19">
        <v>859</v>
      </c>
      <c r="I4" s="19">
        <v>5</v>
      </c>
      <c r="J4" s="4">
        <v>46158</v>
      </c>
      <c r="K4" s="19" t="s">
        <v>17</v>
      </c>
    </row>
    <row r="5" spans="1:11" ht="22.5" x14ac:dyDescent="0.45">
      <c r="A5" s="3"/>
      <c r="B5" s="3"/>
      <c r="C5" s="17"/>
      <c r="D5" s="17"/>
      <c r="E5" s="17"/>
      <c r="F5" s="4"/>
      <c r="G5" s="16"/>
      <c r="H5" s="17"/>
      <c r="I5" s="17"/>
      <c r="J5" s="4"/>
      <c r="K5" s="17"/>
    </row>
    <row r="6" spans="1:11" ht="22.5" x14ac:dyDescent="0.45">
      <c r="A6" s="3"/>
      <c r="B6" s="3"/>
      <c r="C6" s="17"/>
      <c r="D6" s="17"/>
      <c r="E6" s="17"/>
      <c r="F6" s="4"/>
      <c r="G6" s="16"/>
      <c r="H6" s="17"/>
      <c r="I6" s="17"/>
      <c r="J6" s="17"/>
      <c r="K6" s="17"/>
    </row>
    <row r="7" spans="1:11" ht="22.5" x14ac:dyDescent="0.45">
      <c r="A7" s="3"/>
      <c r="B7" s="3"/>
      <c r="C7" s="17"/>
      <c r="D7" s="17"/>
      <c r="E7" s="17" t="s">
        <v>76</v>
      </c>
      <c r="F7" s="4"/>
      <c r="G7" s="16" t="s">
        <v>76</v>
      </c>
      <c r="H7" s="17"/>
      <c r="I7" s="17"/>
      <c r="J7" s="17"/>
      <c r="K7" s="17"/>
    </row>
    <row r="8" spans="1:11" ht="22.5" x14ac:dyDescent="0.45">
      <c r="A8" s="3"/>
      <c r="B8" s="3"/>
      <c r="C8" s="17"/>
      <c r="D8" s="17"/>
      <c r="E8" s="17"/>
      <c r="F8" s="4"/>
      <c r="G8" s="16"/>
      <c r="H8" s="17"/>
      <c r="I8" s="17"/>
      <c r="J8" s="17"/>
      <c r="K8" s="17"/>
    </row>
    <row r="9" spans="1:11" ht="22.5" x14ac:dyDescent="0.45">
      <c r="A9" s="3"/>
      <c r="B9" s="3"/>
      <c r="C9" s="17"/>
      <c r="D9" s="17"/>
      <c r="E9" s="17"/>
      <c r="F9" s="4"/>
      <c r="G9" s="16"/>
      <c r="H9" s="17"/>
      <c r="I9" s="17"/>
      <c r="J9" s="17"/>
      <c r="K9" s="17"/>
    </row>
    <row r="10" spans="1:11" ht="22.5" x14ac:dyDescent="0.45">
      <c r="A10" s="3"/>
      <c r="B10" s="3"/>
      <c r="C10" s="17"/>
      <c r="D10" s="17"/>
      <c r="E10" s="17"/>
      <c r="F10" s="17"/>
      <c r="G10" s="17"/>
      <c r="H10" s="17"/>
      <c r="I10" s="17"/>
      <c r="J10" s="17"/>
      <c r="K10" s="17"/>
    </row>
    <row r="11" spans="1:11" ht="22.5" x14ac:dyDescent="0.45">
      <c r="A11" s="3"/>
      <c r="B11" s="3"/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22.5" x14ac:dyDescent="0.45">
      <c r="A12" s="3"/>
      <c r="B12" s="3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2.5" x14ac:dyDescent="0.45">
      <c r="A13" s="3"/>
      <c r="B13" s="3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22.5" x14ac:dyDescent="0.45">
      <c r="A14" s="3"/>
      <c r="B14" s="3"/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22.5" x14ac:dyDescent="0.45">
      <c r="A15" s="3"/>
      <c r="B15" s="3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2.5" x14ac:dyDescent="0.45">
      <c r="A16" s="3"/>
      <c r="B16" s="3"/>
      <c r="C16" s="17"/>
      <c r="D16" s="17"/>
      <c r="E16" s="17"/>
      <c r="F16" s="17"/>
      <c r="G16" s="17"/>
      <c r="H16" s="17"/>
      <c r="I16" s="17"/>
      <c r="J16" s="17"/>
      <c r="K16" s="17"/>
    </row>
    <row r="17" spans="1:11" ht="22.5" x14ac:dyDescent="0.45">
      <c r="A17" s="3"/>
      <c r="B17" s="3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22.5" x14ac:dyDescent="0.45">
      <c r="A18" s="3"/>
      <c r="B18" s="3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2.5" x14ac:dyDescent="0.45">
      <c r="A19" s="3"/>
      <c r="B19" s="3">
        <f>SUM(B4:B18)</f>
        <v>0</v>
      </c>
      <c r="C19" s="17">
        <f>SUM(C4:C18)</f>
        <v>2</v>
      </c>
      <c r="D19" s="17"/>
      <c r="E19" s="17"/>
      <c r="F19" s="17"/>
      <c r="G19" s="17"/>
      <c r="H19" s="17"/>
      <c r="I19" s="17">
        <f>SUM(I4:I18)</f>
        <v>5</v>
      </c>
      <c r="J19" s="17"/>
      <c r="K19" s="17"/>
    </row>
    <row r="20" spans="1:11" ht="22.5" x14ac:dyDescent="0.45">
      <c r="C20" s="18"/>
      <c r="D20" s="18"/>
      <c r="E20" s="17">
        <f>I19-C19</f>
        <v>3</v>
      </c>
      <c r="F20" s="29" t="s">
        <v>13</v>
      </c>
      <c r="G20" s="30"/>
      <c r="H20" s="18"/>
      <c r="I20" s="18"/>
      <c r="J20" s="18"/>
      <c r="K20" s="18"/>
    </row>
    <row r="21" spans="1:11" ht="22.5" x14ac:dyDescent="0.45"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22.5" x14ac:dyDescent="0.45"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22.5" x14ac:dyDescent="0.45"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8.75" customHeight="1" x14ac:dyDescent="0.45">
      <c r="A24" s="34" t="s">
        <v>113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8.75" customHeight="1" x14ac:dyDescent="0.45">
      <c r="A25" s="32" t="s">
        <v>0</v>
      </c>
      <c r="B25" s="32"/>
      <c r="C25" s="32"/>
      <c r="D25" s="32"/>
      <c r="E25" s="32"/>
      <c r="F25" s="32"/>
      <c r="G25" s="32"/>
      <c r="H25" s="31" t="s">
        <v>6</v>
      </c>
      <c r="I25" s="31"/>
      <c r="J25" s="31"/>
      <c r="K25" s="30"/>
    </row>
    <row r="26" spans="1:11" s="2" customFormat="1" ht="22.5" x14ac:dyDescent="0.45">
      <c r="A26" s="3" t="s">
        <v>8</v>
      </c>
      <c r="B26" s="3" t="s">
        <v>14</v>
      </c>
      <c r="C26" s="17" t="s">
        <v>3</v>
      </c>
      <c r="D26" s="17" t="s">
        <v>10</v>
      </c>
      <c r="E26" s="17" t="s">
        <v>5</v>
      </c>
      <c r="F26" s="17" t="s">
        <v>4</v>
      </c>
      <c r="G26" s="17" t="s">
        <v>1</v>
      </c>
      <c r="H26" s="17" t="s">
        <v>26</v>
      </c>
      <c r="I26" s="17" t="s">
        <v>3</v>
      </c>
      <c r="J26" s="17" t="s">
        <v>2</v>
      </c>
      <c r="K26" s="17" t="s">
        <v>1</v>
      </c>
    </row>
    <row r="27" spans="1:11" s="1" customFormat="1" ht="22.5" x14ac:dyDescent="0.45">
      <c r="A27" s="3"/>
      <c r="B27" s="3"/>
      <c r="C27" s="17"/>
      <c r="D27" s="17"/>
      <c r="E27" s="17"/>
      <c r="F27" s="4"/>
      <c r="G27" s="15"/>
      <c r="H27" s="19">
        <v>859</v>
      </c>
      <c r="I27" s="19">
        <v>5</v>
      </c>
      <c r="J27" s="4">
        <v>46158</v>
      </c>
      <c r="K27" s="19" t="s">
        <v>17</v>
      </c>
    </row>
    <row r="28" spans="1:11" ht="22.5" x14ac:dyDescent="0.45">
      <c r="A28" s="3"/>
      <c r="B28" s="3"/>
      <c r="C28" s="17"/>
      <c r="D28" s="17"/>
      <c r="E28" s="17"/>
      <c r="F28" s="4"/>
      <c r="G28" s="16"/>
      <c r="H28" s="17"/>
      <c r="I28" s="17"/>
      <c r="J28" s="4"/>
      <c r="K28" s="17"/>
    </row>
    <row r="29" spans="1:11" ht="22.5" x14ac:dyDescent="0.45">
      <c r="A29" s="3"/>
      <c r="B29" s="3"/>
      <c r="C29" s="17"/>
      <c r="D29" s="17"/>
      <c r="E29" s="17"/>
      <c r="F29" s="4"/>
      <c r="G29" s="16"/>
      <c r="H29" s="17"/>
      <c r="I29" s="17"/>
      <c r="J29" s="17"/>
      <c r="K29" s="17"/>
    </row>
    <row r="30" spans="1:11" ht="22.5" x14ac:dyDescent="0.45">
      <c r="A30" s="3"/>
      <c r="B30" s="3"/>
      <c r="C30" s="17"/>
      <c r="D30" s="17"/>
      <c r="E30" s="17" t="s">
        <v>76</v>
      </c>
      <c r="F30" s="4"/>
      <c r="G30" s="16"/>
      <c r="H30" s="17"/>
      <c r="I30" s="17"/>
      <c r="J30" s="17"/>
      <c r="K30" s="17"/>
    </row>
    <row r="31" spans="1:11" ht="22.5" x14ac:dyDescent="0.45">
      <c r="A31" s="3"/>
      <c r="B31" s="3"/>
      <c r="C31" s="17"/>
      <c r="D31" s="17"/>
      <c r="E31" s="17"/>
      <c r="F31" s="4"/>
      <c r="G31" s="16"/>
      <c r="H31" s="17"/>
      <c r="I31" s="17"/>
      <c r="J31" s="17"/>
      <c r="K31" s="17"/>
    </row>
    <row r="32" spans="1:11" ht="22.5" x14ac:dyDescent="0.45">
      <c r="A32" s="3"/>
      <c r="B32" s="3"/>
      <c r="C32" s="17"/>
      <c r="D32" s="17"/>
      <c r="E32" s="17"/>
      <c r="F32" s="4"/>
      <c r="G32" s="16"/>
      <c r="H32" s="17"/>
      <c r="I32" s="17"/>
      <c r="J32" s="17"/>
      <c r="K32" s="17"/>
    </row>
    <row r="33" spans="1:11" ht="22.5" x14ac:dyDescent="0.45">
      <c r="A33" s="3"/>
      <c r="B33" s="3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22.5" x14ac:dyDescent="0.45">
      <c r="A34" s="3"/>
      <c r="B34" s="3"/>
      <c r="C34" s="17"/>
      <c r="D34" s="17"/>
      <c r="E34" s="17"/>
      <c r="F34" s="17"/>
      <c r="G34" s="17"/>
      <c r="H34" s="17"/>
      <c r="I34" s="17"/>
      <c r="J34" s="17"/>
      <c r="K34" s="17"/>
    </row>
    <row r="35" spans="1:11" ht="22.5" x14ac:dyDescent="0.45">
      <c r="A35" s="3"/>
      <c r="B35" s="3"/>
      <c r="C35" s="17"/>
      <c r="D35" s="17"/>
      <c r="E35" s="17"/>
      <c r="F35" s="17"/>
      <c r="G35" s="17"/>
      <c r="H35" s="17"/>
      <c r="I35" s="17"/>
      <c r="J35" s="17"/>
      <c r="K35" s="17"/>
    </row>
    <row r="36" spans="1:11" ht="22.5" x14ac:dyDescent="0.45">
      <c r="A36" s="3"/>
      <c r="B36" s="3"/>
      <c r="C36" s="17"/>
      <c r="D36" s="17"/>
      <c r="E36" s="17"/>
      <c r="F36" s="17"/>
      <c r="G36" s="17"/>
      <c r="H36" s="17"/>
      <c r="I36" s="17"/>
      <c r="J36" s="17"/>
      <c r="K36" s="17"/>
    </row>
    <row r="37" spans="1:11" ht="22.5" x14ac:dyDescent="0.45">
      <c r="A37" s="3"/>
      <c r="B37" s="3"/>
      <c r="C37" s="17"/>
      <c r="D37" s="17"/>
      <c r="E37" s="17"/>
      <c r="F37" s="17"/>
      <c r="G37" s="17"/>
      <c r="H37" s="17"/>
      <c r="I37" s="17"/>
      <c r="J37" s="17"/>
      <c r="K37" s="17"/>
    </row>
    <row r="38" spans="1:11" ht="22.5" x14ac:dyDescent="0.45">
      <c r="A38" s="3"/>
      <c r="B38" s="3"/>
      <c r="C38" s="17"/>
      <c r="D38" s="17"/>
      <c r="E38" s="17"/>
      <c r="F38" s="17"/>
      <c r="G38" s="17"/>
      <c r="H38" s="17"/>
      <c r="I38" s="17"/>
      <c r="J38" s="17"/>
      <c r="K38" s="17"/>
    </row>
    <row r="39" spans="1:11" ht="22.5" x14ac:dyDescent="0.45">
      <c r="A39" s="3"/>
      <c r="B39" s="3"/>
      <c r="C39" s="17"/>
      <c r="D39" s="17"/>
      <c r="E39" s="17"/>
      <c r="F39" s="17"/>
      <c r="G39" s="17"/>
      <c r="H39" s="17"/>
      <c r="I39" s="17"/>
      <c r="J39" s="17"/>
      <c r="K39" s="17"/>
    </row>
    <row r="40" spans="1:11" ht="22.5" x14ac:dyDescent="0.45">
      <c r="A40" s="3"/>
      <c r="B40" s="3"/>
      <c r="C40" s="17"/>
      <c r="D40" s="17"/>
      <c r="E40" s="17"/>
      <c r="F40" s="17"/>
      <c r="G40" s="17"/>
      <c r="H40" s="17"/>
      <c r="I40" s="17"/>
      <c r="J40" s="17"/>
      <c r="K40" s="17"/>
    </row>
    <row r="41" spans="1:11" ht="22.5" x14ac:dyDescent="0.45">
      <c r="A41" s="3"/>
      <c r="B41" s="3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22.5" x14ac:dyDescent="0.45">
      <c r="A42" s="3"/>
      <c r="B42" s="3">
        <f>SUM(B27:B41)</f>
        <v>0</v>
      </c>
      <c r="C42" s="17">
        <f>SUM(C27:C41)</f>
        <v>0</v>
      </c>
      <c r="D42" s="17"/>
      <c r="E42" s="17"/>
      <c r="F42" s="17"/>
      <c r="G42" s="17"/>
      <c r="H42" s="17"/>
      <c r="I42" s="17">
        <f>SUM(I27:I41)</f>
        <v>5</v>
      </c>
      <c r="J42" s="17"/>
      <c r="K42" s="17"/>
    </row>
    <row r="43" spans="1:11" ht="22.5" x14ac:dyDescent="0.45">
      <c r="C43" s="18"/>
      <c r="D43" s="18"/>
      <c r="E43" s="17">
        <f>I42-C42</f>
        <v>5</v>
      </c>
      <c r="F43" s="29" t="s">
        <v>13</v>
      </c>
      <c r="G43" s="30"/>
      <c r="H43" s="18"/>
      <c r="I43" s="18"/>
      <c r="J43" s="18"/>
      <c r="K43" s="18"/>
    </row>
    <row r="44" spans="1:11" ht="15" x14ac:dyDescent="0.25">
      <c r="A44"/>
      <c r="B44"/>
      <c r="C44"/>
      <c r="D44"/>
      <c r="E44"/>
      <c r="F44"/>
      <c r="G44"/>
      <c r="H44"/>
      <c r="I44"/>
      <c r="J44"/>
      <c r="K44"/>
    </row>
    <row r="45" spans="1:11" ht="15" x14ac:dyDescent="0.25">
      <c r="A45"/>
      <c r="B45"/>
      <c r="C45"/>
      <c r="D45"/>
      <c r="E45"/>
      <c r="F45"/>
      <c r="G45"/>
      <c r="H45"/>
      <c r="I45"/>
      <c r="J45"/>
      <c r="K45"/>
    </row>
    <row r="46" spans="1:11" ht="15" x14ac:dyDescent="0.25">
      <c r="A46"/>
      <c r="B46"/>
      <c r="C46"/>
      <c r="D46"/>
      <c r="E46"/>
      <c r="F46"/>
      <c r="G46"/>
      <c r="H46"/>
      <c r="I46"/>
      <c r="J46"/>
      <c r="K46"/>
    </row>
    <row r="47" spans="1:11" ht="22.5" x14ac:dyDescent="0.45">
      <c r="A47" s="33" t="s">
        <v>114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 spans="1:11" s="2" customFormat="1" ht="22.5" x14ac:dyDescent="0.45">
      <c r="A48" s="32" t="s">
        <v>0</v>
      </c>
      <c r="B48" s="32"/>
      <c r="C48" s="32"/>
      <c r="D48" s="32"/>
      <c r="E48" s="32"/>
      <c r="F48" s="32"/>
      <c r="G48" s="32"/>
      <c r="H48" s="31" t="s">
        <v>6</v>
      </c>
      <c r="I48" s="31"/>
      <c r="J48" s="31"/>
      <c r="K48" s="30"/>
    </row>
    <row r="49" spans="1:11" s="1" customFormat="1" ht="22.5" x14ac:dyDescent="0.45">
      <c r="A49" s="3" t="s">
        <v>8</v>
      </c>
      <c r="B49" s="3" t="s">
        <v>14</v>
      </c>
      <c r="C49" s="17" t="s">
        <v>3</v>
      </c>
      <c r="D49" s="17" t="s">
        <v>10</v>
      </c>
      <c r="E49" s="17" t="s">
        <v>5</v>
      </c>
      <c r="F49" s="17" t="s">
        <v>4</v>
      </c>
      <c r="G49" s="17" t="s">
        <v>1</v>
      </c>
      <c r="H49" s="17" t="s">
        <v>26</v>
      </c>
      <c r="I49" s="17" t="s">
        <v>3</v>
      </c>
      <c r="J49" s="17" t="s">
        <v>2</v>
      </c>
      <c r="K49" s="17" t="s">
        <v>1</v>
      </c>
    </row>
    <row r="50" spans="1:11" ht="22.5" x14ac:dyDescent="0.45">
      <c r="A50" s="3"/>
      <c r="B50" s="3"/>
      <c r="C50" s="17">
        <v>1</v>
      </c>
      <c r="D50" s="17"/>
      <c r="E50" s="17"/>
      <c r="F50" s="4"/>
      <c r="G50" s="15"/>
      <c r="H50" s="19">
        <v>859</v>
      </c>
      <c r="I50" s="19">
        <v>5</v>
      </c>
      <c r="J50" s="4">
        <v>46158</v>
      </c>
      <c r="K50" s="19" t="s">
        <v>17</v>
      </c>
    </row>
    <row r="51" spans="1:11" ht="22.5" x14ac:dyDescent="0.45">
      <c r="A51" s="3"/>
      <c r="B51" s="3"/>
      <c r="C51" s="17"/>
      <c r="D51" s="17"/>
      <c r="E51" s="17"/>
      <c r="F51" s="4"/>
      <c r="G51" s="16"/>
      <c r="H51" s="17"/>
      <c r="I51" s="17"/>
      <c r="J51" s="4"/>
      <c r="K51" s="17"/>
    </row>
    <row r="52" spans="1:11" ht="22.5" x14ac:dyDescent="0.45">
      <c r="A52" s="3"/>
      <c r="B52" s="3"/>
      <c r="C52" s="17"/>
      <c r="D52" s="17"/>
      <c r="E52" s="17"/>
      <c r="F52" s="4"/>
      <c r="G52" s="16"/>
      <c r="H52" s="17"/>
      <c r="I52" s="17"/>
      <c r="J52" s="17"/>
      <c r="K52" s="17"/>
    </row>
    <row r="53" spans="1:11" ht="22.5" x14ac:dyDescent="0.45">
      <c r="A53" s="3"/>
      <c r="B53" s="3"/>
      <c r="C53" s="17"/>
      <c r="D53" s="17"/>
      <c r="E53" s="17" t="s">
        <v>76</v>
      </c>
      <c r="F53" s="4"/>
      <c r="G53" s="16"/>
      <c r="H53" s="17"/>
      <c r="I53" s="17"/>
      <c r="J53" s="17"/>
      <c r="K53" s="17"/>
    </row>
    <row r="54" spans="1:11" ht="22.5" x14ac:dyDescent="0.45">
      <c r="A54" s="3"/>
      <c r="B54" s="3"/>
      <c r="C54" s="17"/>
      <c r="D54" s="17"/>
      <c r="E54" s="17"/>
      <c r="F54" s="4"/>
      <c r="G54" s="16"/>
      <c r="H54" s="17"/>
      <c r="I54" s="17"/>
      <c r="J54" s="17"/>
      <c r="K54" s="17"/>
    </row>
    <row r="55" spans="1:11" ht="22.5" x14ac:dyDescent="0.45">
      <c r="A55" s="3"/>
      <c r="B55" s="3"/>
      <c r="C55" s="17"/>
      <c r="D55" s="17"/>
      <c r="E55" s="17"/>
      <c r="F55" s="4"/>
      <c r="G55" s="16"/>
      <c r="H55" s="17"/>
      <c r="I55" s="17"/>
      <c r="J55" s="17"/>
      <c r="K55" s="17"/>
    </row>
    <row r="56" spans="1:11" ht="22.5" x14ac:dyDescent="0.45">
      <c r="A56" s="3"/>
      <c r="B56" s="3"/>
      <c r="C56" s="17"/>
      <c r="D56" s="17"/>
      <c r="E56" s="17"/>
      <c r="F56" s="17"/>
      <c r="G56" s="17"/>
      <c r="H56" s="17"/>
      <c r="I56" s="17"/>
      <c r="J56" s="17"/>
      <c r="K56" s="17"/>
    </row>
    <row r="57" spans="1:11" ht="22.5" x14ac:dyDescent="0.45">
      <c r="A57" s="3"/>
      <c r="B57" s="3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22.5" x14ac:dyDescent="0.45">
      <c r="A58" s="3"/>
      <c r="B58" s="3"/>
      <c r="C58" s="17"/>
      <c r="D58" s="17"/>
      <c r="E58" s="17"/>
      <c r="F58" s="17"/>
      <c r="G58" s="17"/>
      <c r="H58" s="17"/>
      <c r="I58" s="17"/>
      <c r="J58" s="17"/>
      <c r="K58" s="17"/>
    </row>
    <row r="59" spans="1:11" ht="22.5" x14ac:dyDescent="0.45">
      <c r="A59" s="3"/>
      <c r="B59" s="3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22.5" x14ac:dyDescent="0.45">
      <c r="A60" s="3"/>
      <c r="B60" s="3"/>
      <c r="C60" s="17"/>
      <c r="D60" s="17"/>
      <c r="E60" s="17"/>
      <c r="F60" s="17"/>
      <c r="G60" s="17"/>
      <c r="H60" s="17"/>
      <c r="I60" s="17"/>
      <c r="J60" s="17"/>
      <c r="K60" s="17"/>
    </row>
    <row r="61" spans="1:11" ht="22.5" x14ac:dyDescent="0.45">
      <c r="A61" s="3"/>
      <c r="B61" s="3"/>
      <c r="C61" s="17"/>
      <c r="D61" s="17"/>
      <c r="E61" s="17"/>
      <c r="F61" s="17"/>
      <c r="G61" s="17"/>
      <c r="H61" s="17"/>
      <c r="I61" s="17"/>
      <c r="J61" s="17"/>
      <c r="K61" s="17"/>
    </row>
    <row r="62" spans="1:11" ht="22.5" x14ac:dyDescent="0.45">
      <c r="A62" s="3"/>
      <c r="B62" s="3"/>
      <c r="C62" s="17"/>
      <c r="D62" s="17"/>
      <c r="E62" s="17"/>
      <c r="F62" s="17"/>
      <c r="G62" s="17"/>
      <c r="H62" s="17"/>
      <c r="I62" s="17"/>
      <c r="J62" s="17"/>
      <c r="K62" s="17"/>
    </row>
    <row r="63" spans="1:11" ht="22.5" x14ac:dyDescent="0.45">
      <c r="A63" s="3"/>
      <c r="B63" s="3"/>
      <c r="C63" s="17"/>
      <c r="D63" s="17"/>
      <c r="E63" s="17"/>
      <c r="F63" s="17"/>
      <c r="G63" s="17"/>
      <c r="H63" s="17"/>
      <c r="I63" s="17"/>
      <c r="J63" s="17"/>
      <c r="K63" s="17"/>
    </row>
    <row r="64" spans="1:11" ht="22.5" x14ac:dyDescent="0.45">
      <c r="A64" s="3"/>
      <c r="B64" s="3"/>
      <c r="C64" s="17"/>
      <c r="D64" s="17"/>
      <c r="E64" s="17"/>
      <c r="F64" s="17"/>
      <c r="G64" s="17"/>
      <c r="H64" s="17"/>
      <c r="I64" s="17"/>
      <c r="J64" s="17"/>
      <c r="K64" s="17"/>
    </row>
    <row r="65" spans="1:11" ht="22.5" x14ac:dyDescent="0.45">
      <c r="A65" s="3"/>
      <c r="B65" s="3">
        <f>SUM(B50:B64)</f>
        <v>0</v>
      </c>
      <c r="C65" s="17">
        <f>SUM(C50:C64)</f>
        <v>1</v>
      </c>
      <c r="D65" s="17"/>
      <c r="E65" s="17"/>
      <c r="F65" s="17"/>
      <c r="G65" s="17"/>
      <c r="H65" s="17"/>
      <c r="I65" s="17">
        <f>SUM(I50:I64)</f>
        <v>5</v>
      </c>
      <c r="J65" s="17"/>
      <c r="K65" s="17"/>
    </row>
    <row r="66" spans="1:11" ht="22.5" x14ac:dyDescent="0.45">
      <c r="C66" s="18"/>
      <c r="D66" s="18"/>
      <c r="E66" s="17">
        <f>I65-C65</f>
        <v>4</v>
      </c>
      <c r="F66" s="29" t="s">
        <v>13</v>
      </c>
      <c r="G66" s="30"/>
      <c r="H66" s="18"/>
      <c r="I66" s="18"/>
      <c r="J66" s="18"/>
      <c r="K66" s="18"/>
    </row>
    <row r="70" spans="1:11" ht="22.5" x14ac:dyDescent="0.45">
      <c r="A70" s="33" t="s">
        <v>115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 spans="1:11" ht="22.5" x14ac:dyDescent="0.45">
      <c r="A71" s="32" t="s">
        <v>0</v>
      </c>
      <c r="B71" s="32"/>
      <c r="C71" s="32"/>
      <c r="D71" s="32"/>
      <c r="E71" s="32"/>
      <c r="F71" s="32"/>
      <c r="G71" s="32"/>
      <c r="H71" s="31" t="s">
        <v>6</v>
      </c>
      <c r="I71" s="31"/>
      <c r="J71" s="31"/>
      <c r="K71" s="30"/>
    </row>
    <row r="72" spans="1:11" ht="22.5" x14ac:dyDescent="0.45">
      <c r="A72" s="3" t="s">
        <v>8</v>
      </c>
      <c r="B72" s="3" t="s">
        <v>14</v>
      </c>
      <c r="C72" s="17" t="s">
        <v>3</v>
      </c>
      <c r="D72" s="17" t="s">
        <v>10</v>
      </c>
      <c r="E72" s="17" t="s">
        <v>5</v>
      </c>
      <c r="F72" s="17" t="s">
        <v>4</v>
      </c>
      <c r="G72" s="17" t="s">
        <v>1</v>
      </c>
      <c r="H72" s="17" t="s">
        <v>26</v>
      </c>
      <c r="I72" s="17" t="s">
        <v>3</v>
      </c>
      <c r="J72" s="17" t="s">
        <v>2</v>
      </c>
      <c r="K72" s="17" t="s">
        <v>1</v>
      </c>
    </row>
    <row r="73" spans="1:11" ht="22.5" x14ac:dyDescent="0.45">
      <c r="A73" s="3"/>
      <c r="B73" s="3">
        <v>20</v>
      </c>
      <c r="C73" s="17">
        <v>1</v>
      </c>
      <c r="D73" s="17" t="s">
        <v>129</v>
      </c>
      <c r="E73" s="17" t="s">
        <v>128</v>
      </c>
      <c r="F73" s="4">
        <v>46160</v>
      </c>
      <c r="G73" s="22" t="s">
        <v>9</v>
      </c>
      <c r="H73" s="19">
        <v>859</v>
      </c>
      <c r="I73" s="19">
        <v>5</v>
      </c>
      <c r="J73" s="4">
        <v>46158</v>
      </c>
      <c r="K73" s="19" t="s">
        <v>17</v>
      </c>
    </row>
    <row r="74" spans="1:11" ht="22.5" x14ac:dyDescent="0.45">
      <c r="A74" s="3"/>
      <c r="B74" s="3">
        <v>25</v>
      </c>
      <c r="C74" s="17">
        <v>1</v>
      </c>
      <c r="D74" s="17" t="s">
        <v>131</v>
      </c>
      <c r="E74" s="17" t="s">
        <v>130</v>
      </c>
      <c r="F74" s="4">
        <v>46161</v>
      </c>
      <c r="G74" s="21" t="s">
        <v>16</v>
      </c>
      <c r="H74" s="17"/>
      <c r="I74" s="17"/>
      <c r="J74" s="4"/>
      <c r="K74" s="17"/>
    </row>
    <row r="75" spans="1:11" ht="22.5" x14ac:dyDescent="0.45">
      <c r="A75" s="3"/>
      <c r="B75" s="3"/>
      <c r="C75" s="17"/>
      <c r="D75" s="17"/>
      <c r="E75" s="17"/>
      <c r="F75" s="4"/>
      <c r="G75" s="16"/>
      <c r="H75" s="17"/>
      <c r="I75" s="17"/>
      <c r="J75" s="17"/>
      <c r="K75" s="17"/>
    </row>
    <row r="76" spans="1:11" ht="22.5" x14ac:dyDescent="0.45">
      <c r="A76" s="3"/>
      <c r="B76" s="3"/>
      <c r="C76" s="17"/>
      <c r="D76" s="17"/>
      <c r="E76" s="17" t="s">
        <v>76</v>
      </c>
      <c r="F76" s="4"/>
      <c r="G76" s="16"/>
      <c r="H76" s="17"/>
      <c r="I76" s="17"/>
      <c r="J76" s="17"/>
      <c r="K76" s="17"/>
    </row>
    <row r="77" spans="1:11" ht="22.5" x14ac:dyDescent="0.45">
      <c r="A77" s="3"/>
      <c r="B77" s="3"/>
      <c r="C77" s="17"/>
      <c r="D77" s="17"/>
      <c r="E77" s="17"/>
      <c r="F77" s="4"/>
      <c r="G77" s="16"/>
      <c r="H77" s="17"/>
      <c r="I77" s="17"/>
      <c r="J77" s="17"/>
      <c r="K77" s="17"/>
    </row>
    <row r="78" spans="1:11" ht="22.5" x14ac:dyDescent="0.45">
      <c r="A78" s="3"/>
      <c r="B78" s="3"/>
      <c r="C78" s="17"/>
      <c r="D78" s="17"/>
      <c r="E78" s="17"/>
      <c r="F78" s="4"/>
      <c r="G78" s="16"/>
      <c r="H78" s="17"/>
      <c r="I78" s="17"/>
      <c r="J78" s="17"/>
      <c r="K78" s="17"/>
    </row>
    <row r="79" spans="1:11" ht="22.5" x14ac:dyDescent="0.45">
      <c r="A79" s="3"/>
      <c r="B79" s="3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22.5" x14ac:dyDescent="0.45">
      <c r="A80" s="3"/>
      <c r="B80" s="3"/>
      <c r="C80" s="17"/>
      <c r="D80" s="17"/>
      <c r="E80" s="17"/>
      <c r="F80" s="17"/>
      <c r="G80" s="17"/>
      <c r="H80" s="17"/>
      <c r="I80" s="17"/>
      <c r="J80" s="17"/>
      <c r="K80" s="17"/>
    </row>
    <row r="81" spans="1:11" ht="22.5" x14ac:dyDescent="0.45">
      <c r="A81" s="3"/>
      <c r="B81" s="3"/>
      <c r="C81" s="17"/>
      <c r="D81" s="17"/>
      <c r="E81" s="17"/>
      <c r="F81" s="17"/>
      <c r="G81" s="17"/>
      <c r="H81" s="17"/>
      <c r="I81" s="17"/>
      <c r="J81" s="17"/>
      <c r="K81" s="17"/>
    </row>
    <row r="82" spans="1:11" ht="22.5" x14ac:dyDescent="0.45">
      <c r="A82" s="3"/>
      <c r="B82" s="3"/>
      <c r="C82" s="17"/>
      <c r="D82" s="17"/>
      <c r="E82" s="17"/>
      <c r="F82" s="17"/>
      <c r="G82" s="17"/>
      <c r="H82" s="17"/>
      <c r="I82" s="17"/>
      <c r="J82" s="17"/>
      <c r="K82" s="17"/>
    </row>
    <row r="83" spans="1:11" ht="22.5" x14ac:dyDescent="0.45">
      <c r="A83" s="3"/>
      <c r="B83" s="3"/>
      <c r="C83" s="17"/>
      <c r="D83" s="17"/>
      <c r="E83" s="17"/>
      <c r="F83" s="17"/>
      <c r="G83" s="17"/>
      <c r="H83" s="17"/>
      <c r="I83" s="17"/>
      <c r="J83" s="17"/>
      <c r="K83" s="17"/>
    </row>
    <row r="84" spans="1:11" ht="22.5" x14ac:dyDescent="0.45">
      <c r="A84" s="3"/>
      <c r="B84" s="3"/>
      <c r="C84" s="17"/>
      <c r="D84" s="17"/>
      <c r="E84" s="17"/>
      <c r="F84" s="17"/>
      <c r="G84" s="17"/>
      <c r="H84" s="17"/>
      <c r="I84" s="17"/>
      <c r="J84" s="17"/>
      <c r="K84" s="17"/>
    </row>
    <row r="85" spans="1:11" ht="22.5" x14ac:dyDescent="0.45">
      <c r="A85" s="3"/>
      <c r="B85" s="3"/>
      <c r="C85" s="17"/>
      <c r="D85" s="17"/>
      <c r="E85" s="17"/>
      <c r="F85" s="17"/>
      <c r="G85" s="17"/>
      <c r="H85" s="17"/>
      <c r="I85" s="17"/>
      <c r="J85" s="17"/>
      <c r="K85" s="17"/>
    </row>
    <row r="86" spans="1:11" ht="22.5" x14ac:dyDescent="0.45">
      <c r="A86" s="3"/>
      <c r="B86" s="3"/>
      <c r="C86" s="17"/>
      <c r="D86" s="17"/>
      <c r="E86" s="17"/>
      <c r="F86" s="17"/>
      <c r="G86" s="17"/>
      <c r="H86" s="17"/>
      <c r="I86" s="17"/>
      <c r="J86" s="17"/>
      <c r="K86" s="17"/>
    </row>
    <row r="87" spans="1:11" ht="22.5" x14ac:dyDescent="0.45">
      <c r="A87" s="3"/>
      <c r="B87" s="3"/>
      <c r="C87" s="17"/>
      <c r="D87" s="17"/>
      <c r="E87" s="17"/>
      <c r="F87" s="17"/>
      <c r="G87" s="17"/>
      <c r="H87" s="17"/>
      <c r="I87" s="17"/>
      <c r="J87" s="17"/>
      <c r="K87" s="17"/>
    </row>
    <row r="88" spans="1:11" ht="22.5" x14ac:dyDescent="0.45">
      <c r="A88" s="3"/>
      <c r="B88" s="3">
        <f>SUM(B73:B87)</f>
        <v>45</v>
      </c>
      <c r="C88" s="17">
        <f>SUM(C73:C87)</f>
        <v>2</v>
      </c>
      <c r="D88" s="17"/>
      <c r="E88" s="17"/>
      <c r="F88" s="17"/>
      <c r="G88" s="17"/>
      <c r="H88" s="17"/>
      <c r="I88" s="17">
        <f>SUM(I73:I87)</f>
        <v>5</v>
      </c>
      <c r="J88" s="17"/>
      <c r="K88" s="17"/>
    </row>
    <row r="89" spans="1:11" ht="22.5" x14ac:dyDescent="0.45">
      <c r="C89" s="18"/>
      <c r="D89" s="18"/>
      <c r="E89" s="17">
        <f>I88-C88</f>
        <v>3</v>
      </c>
      <c r="F89" s="29" t="s">
        <v>13</v>
      </c>
      <c r="G89" s="30"/>
      <c r="H89" s="18"/>
      <c r="I89" s="18"/>
      <c r="J89" s="18"/>
      <c r="K89" s="18"/>
    </row>
    <row r="92" spans="1:11" ht="22.5" x14ac:dyDescent="0.45">
      <c r="A92" s="33" t="s">
        <v>116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 ht="22.5" x14ac:dyDescent="0.45">
      <c r="A93" s="32" t="s">
        <v>0</v>
      </c>
      <c r="B93" s="32"/>
      <c r="C93" s="32"/>
      <c r="D93" s="32"/>
      <c r="E93" s="32"/>
      <c r="F93" s="32"/>
      <c r="G93" s="32"/>
      <c r="H93" s="31" t="s">
        <v>6</v>
      </c>
      <c r="I93" s="31"/>
      <c r="J93" s="31"/>
      <c r="K93" s="30"/>
    </row>
    <row r="94" spans="1:11" ht="22.5" x14ac:dyDescent="0.45">
      <c r="A94" s="3" t="s">
        <v>8</v>
      </c>
      <c r="B94" s="3" t="s">
        <v>14</v>
      </c>
      <c r="C94" s="17" t="s">
        <v>3</v>
      </c>
      <c r="D94" s="17" t="s">
        <v>10</v>
      </c>
      <c r="E94" s="17" t="s">
        <v>5</v>
      </c>
      <c r="F94" s="17" t="s">
        <v>4</v>
      </c>
      <c r="G94" s="17" t="s">
        <v>1</v>
      </c>
      <c r="H94" s="17" t="s">
        <v>26</v>
      </c>
      <c r="I94" s="17" t="s">
        <v>3</v>
      </c>
      <c r="J94" s="17" t="s">
        <v>2</v>
      </c>
      <c r="K94" s="17" t="s">
        <v>1</v>
      </c>
    </row>
    <row r="95" spans="1:11" ht="22.5" x14ac:dyDescent="0.45">
      <c r="A95" s="3"/>
      <c r="B95" s="3"/>
      <c r="C95" s="17">
        <v>6</v>
      </c>
      <c r="D95" s="17"/>
      <c r="E95" s="17"/>
      <c r="F95" s="4"/>
      <c r="G95" s="15"/>
      <c r="H95" s="19">
        <v>859</v>
      </c>
      <c r="I95" s="19">
        <v>10</v>
      </c>
      <c r="J95" s="4">
        <v>46158</v>
      </c>
      <c r="K95" s="19" t="s">
        <v>17</v>
      </c>
    </row>
    <row r="96" spans="1:11" ht="22.5" x14ac:dyDescent="0.45">
      <c r="A96" s="3"/>
      <c r="B96" s="3"/>
      <c r="C96" s="17"/>
      <c r="D96" s="17"/>
      <c r="E96" s="17"/>
      <c r="F96" s="4"/>
      <c r="G96" s="16"/>
      <c r="H96" s="17"/>
      <c r="I96" s="17"/>
      <c r="J96" s="4"/>
      <c r="K96" s="17"/>
    </row>
    <row r="97" spans="1:11" ht="22.5" x14ac:dyDescent="0.45">
      <c r="A97" s="3"/>
      <c r="B97" s="3"/>
      <c r="C97" s="17"/>
      <c r="D97" s="17"/>
      <c r="E97" s="17"/>
      <c r="F97" s="4"/>
      <c r="G97" s="16"/>
      <c r="H97" s="17"/>
      <c r="I97" s="17"/>
      <c r="J97" s="17"/>
      <c r="K97" s="17"/>
    </row>
    <row r="98" spans="1:11" ht="22.5" x14ac:dyDescent="0.45">
      <c r="A98" s="3"/>
      <c r="B98" s="3"/>
      <c r="C98" s="17"/>
      <c r="D98" s="17"/>
      <c r="E98" s="17" t="s">
        <v>76</v>
      </c>
      <c r="F98" s="4"/>
      <c r="G98" s="16"/>
      <c r="H98" s="17"/>
      <c r="I98" s="17"/>
      <c r="J98" s="17"/>
      <c r="K98" s="17"/>
    </row>
    <row r="99" spans="1:11" ht="22.5" x14ac:dyDescent="0.45">
      <c r="A99" s="3"/>
      <c r="B99" s="3"/>
      <c r="C99" s="17"/>
      <c r="D99" s="17"/>
      <c r="E99" s="17"/>
      <c r="F99" s="4"/>
      <c r="G99" s="16"/>
      <c r="H99" s="17"/>
      <c r="I99" s="17"/>
      <c r="J99" s="17"/>
      <c r="K99" s="17"/>
    </row>
    <row r="100" spans="1:11" ht="22.5" x14ac:dyDescent="0.45">
      <c r="A100" s="3"/>
      <c r="B100" s="3"/>
      <c r="C100" s="17"/>
      <c r="D100" s="17"/>
      <c r="E100" s="17"/>
      <c r="F100" s="4"/>
      <c r="G100" s="16"/>
      <c r="H100" s="17"/>
      <c r="I100" s="17"/>
      <c r="J100" s="17"/>
      <c r="K100" s="17"/>
    </row>
    <row r="101" spans="1:11" ht="22.5" x14ac:dyDescent="0.45">
      <c r="A101" s="3"/>
      <c r="B101" s="3"/>
      <c r="C101" s="17"/>
      <c r="D101" s="17"/>
      <c r="E101" s="17"/>
      <c r="F101" s="17"/>
      <c r="G101" s="17"/>
      <c r="H101" s="17"/>
      <c r="I101" s="17"/>
      <c r="J101" s="17"/>
      <c r="K101" s="17"/>
    </row>
    <row r="102" spans="1:11" ht="22.5" x14ac:dyDescent="0.45">
      <c r="A102" s="3"/>
      <c r="B102" s="3"/>
      <c r="C102" s="17"/>
      <c r="D102" s="17"/>
      <c r="E102" s="17"/>
      <c r="F102" s="17"/>
      <c r="G102" s="17"/>
      <c r="H102" s="17"/>
      <c r="I102" s="17"/>
      <c r="J102" s="17"/>
      <c r="K102" s="17"/>
    </row>
    <row r="103" spans="1:11" ht="22.5" x14ac:dyDescent="0.45">
      <c r="A103" s="3"/>
      <c r="B103" s="3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 ht="22.5" x14ac:dyDescent="0.45">
      <c r="A104" s="3"/>
      <c r="B104" s="3"/>
      <c r="C104" s="17"/>
      <c r="D104" s="17"/>
      <c r="E104" s="17"/>
      <c r="F104" s="17"/>
      <c r="G104" s="17"/>
      <c r="H104" s="17"/>
      <c r="I104" s="17"/>
      <c r="J104" s="17"/>
      <c r="K104" s="17"/>
    </row>
    <row r="105" spans="1:11" ht="22.5" x14ac:dyDescent="0.45">
      <c r="A105" s="3"/>
      <c r="B105" s="3"/>
      <c r="C105" s="17"/>
      <c r="D105" s="17"/>
      <c r="E105" s="17"/>
      <c r="F105" s="17"/>
      <c r="G105" s="17"/>
      <c r="H105" s="17"/>
      <c r="I105" s="17"/>
      <c r="J105" s="17"/>
      <c r="K105" s="17"/>
    </row>
    <row r="106" spans="1:11" ht="22.5" x14ac:dyDescent="0.45">
      <c r="A106" s="3"/>
      <c r="B106" s="3"/>
      <c r="C106" s="17"/>
      <c r="D106" s="17"/>
      <c r="E106" s="17"/>
      <c r="F106" s="17"/>
      <c r="G106" s="17"/>
      <c r="H106" s="17"/>
      <c r="I106" s="17"/>
      <c r="J106" s="17"/>
      <c r="K106" s="17"/>
    </row>
    <row r="107" spans="1:11" ht="22.5" x14ac:dyDescent="0.45">
      <c r="A107" s="3"/>
      <c r="B107" s="3"/>
      <c r="C107" s="17"/>
      <c r="D107" s="17"/>
      <c r="E107" s="17"/>
      <c r="F107" s="17"/>
      <c r="G107" s="17"/>
      <c r="H107" s="17"/>
      <c r="I107" s="17"/>
      <c r="J107" s="17"/>
      <c r="K107" s="17"/>
    </row>
    <row r="108" spans="1:11" ht="22.5" x14ac:dyDescent="0.45">
      <c r="A108" s="3"/>
      <c r="B108" s="3"/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1:11" ht="22.5" x14ac:dyDescent="0.45">
      <c r="A109" s="3"/>
      <c r="B109" s="3"/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 ht="22.5" x14ac:dyDescent="0.45">
      <c r="A110" s="3"/>
      <c r="B110" s="3">
        <f>SUM(B95:B109)</f>
        <v>0</v>
      </c>
      <c r="C110" s="17">
        <f>SUM(C95:C109)</f>
        <v>6</v>
      </c>
      <c r="D110" s="17"/>
      <c r="E110" s="17"/>
      <c r="F110" s="17"/>
      <c r="G110" s="17"/>
      <c r="H110" s="17"/>
      <c r="I110" s="17">
        <f>SUM(I95:I109)</f>
        <v>10</v>
      </c>
      <c r="J110" s="17"/>
      <c r="K110" s="17"/>
    </row>
    <row r="111" spans="1:11" ht="22.5" x14ac:dyDescent="0.45">
      <c r="C111" s="18"/>
      <c r="D111" s="18"/>
      <c r="E111" s="17">
        <f>I110-C110</f>
        <v>4</v>
      </c>
      <c r="F111" s="29" t="s">
        <v>13</v>
      </c>
      <c r="G111" s="30"/>
      <c r="H111" s="18"/>
      <c r="I111" s="18"/>
      <c r="J111" s="18"/>
      <c r="K111" s="18"/>
    </row>
    <row r="114" spans="1:11" ht="22.5" x14ac:dyDescent="0.45">
      <c r="A114" s="34" t="s">
        <v>117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ht="22.5" x14ac:dyDescent="0.45">
      <c r="A115" s="32" t="s">
        <v>0</v>
      </c>
      <c r="B115" s="32"/>
      <c r="C115" s="32"/>
      <c r="D115" s="32"/>
      <c r="E115" s="32"/>
      <c r="F115" s="32"/>
      <c r="G115" s="32"/>
      <c r="H115" s="31" t="s">
        <v>6</v>
      </c>
      <c r="I115" s="31"/>
      <c r="J115" s="31"/>
      <c r="K115" s="30"/>
    </row>
    <row r="116" spans="1:11" ht="22.5" x14ac:dyDescent="0.45">
      <c r="A116" s="3" t="s">
        <v>8</v>
      </c>
      <c r="B116" s="3" t="s">
        <v>14</v>
      </c>
      <c r="C116" s="17" t="s">
        <v>3</v>
      </c>
      <c r="D116" s="17" t="s">
        <v>10</v>
      </c>
      <c r="E116" s="17" t="s">
        <v>5</v>
      </c>
      <c r="F116" s="17" t="s">
        <v>4</v>
      </c>
      <c r="G116" s="17" t="s">
        <v>1</v>
      </c>
      <c r="H116" s="17" t="s">
        <v>26</v>
      </c>
      <c r="I116" s="17" t="s">
        <v>3</v>
      </c>
      <c r="J116" s="17" t="s">
        <v>2</v>
      </c>
      <c r="K116" s="17" t="s">
        <v>1</v>
      </c>
    </row>
    <row r="117" spans="1:11" ht="22.5" x14ac:dyDescent="0.45">
      <c r="A117" s="3"/>
      <c r="B117" s="3"/>
      <c r="C117" s="17"/>
      <c r="D117" s="17"/>
      <c r="E117" s="17"/>
      <c r="F117" s="4"/>
      <c r="G117" s="15"/>
      <c r="H117" s="19">
        <v>859</v>
      </c>
      <c r="I117" s="19">
        <v>10</v>
      </c>
      <c r="J117" s="4">
        <v>46158</v>
      </c>
      <c r="K117" s="19" t="s">
        <v>17</v>
      </c>
    </row>
    <row r="118" spans="1:11" ht="22.5" x14ac:dyDescent="0.45">
      <c r="A118" s="3"/>
      <c r="B118" s="3"/>
      <c r="C118" s="17"/>
      <c r="D118" s="17"/>
      <c r="E118" s="17"/>
      <c r="F118" s="4"/>
      <c r="G118" s="16"/>
      <c r="H118" s="17"/>
      <c r="I118" s="17"/>
      <c r="J118" s="4"/>
      <c r="K118" s="17"/>
    </row>
    <row r="119" spans="1:11" ht="22.5" x14ac:dyDescent="0.45">
      <c r="A119" s="3"/>
      <c r="B119" s="3"/>
      <c r="C119" s="17"/>
      <c r="D119" s="17"/>
      <c r="E119" s="17"/>
      <c r="F119" s="4"/>
      <c r="G119" s="16"/>
      <c r="H119" s="17"/>
      <c r="I119" s="17"/>
      <c r="J119" s="17"/>
      <c r="K119" s="17"/>
    </row>
    <row r="120" spans="1:11" ht="22.5" x14ac:dyDescent="0.45">
      <c r="A120" s="3"/>
      <c r="B120" s="3"/>
      <c r="C120" s="17"/>
      <c r="D120" s="17"/>
      <c r="E120" s="17" t="s">
        <v>76</v>
      </c>
      <c r="F120" s="4"/>
      <c r="G120" s="16"/>
      <c r="H120" s="17"/>
      <c r="I120" s="17"/>
      <c r="J120" s="17"/>
      <c r="K120" s="17"/>
    </row>
    <row r="121" spans="1:11" ht="22.5" x14ac:dyDescent="0.45">
      <c r="A121" s="3"/>
      <c r="B121" s="3"/>
      <c r="C121" s="17"/>
      <c r="D121" s="17"/>
      <c r="E121" s="17"/>
      <c r="F121" s="4"/>
      <c r="G121" s="16"/>
      <c r="H121" s="17"/>
      <c r="I121" s="17"/>
      <c r="J121" s="17"/>
      <c r="K121" s="17"/>
    </row>
    <row r="122" spans="1:11" ht="22.5" x14ac:dyDescent="0.45">
      <c r="A122" s="3"/>
      <c r="B122" s="3"/>
      <c r="C122" s="17"/>
      <c r="D122" s="17"/>
      <c r="E122" s="17"/>
      <c r="F122" s="4"/>
      <c r="G122" s="16"/>
      <c r="H122" s="17"/>
      <c r="I122" s="17"/>
      <c r="J122" s="17"/>
      <c r="K122" s="17"/>
    </row>
    <row r="123" spans="1:11" ht="22.5" x14ac:dyDescent="0.45">
      <c r="A123" s="3"/>
      <c r="B123" s="3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 ht="22.5" x14ac:dyDescent="0.45">
      <c r="A124" s="3"/>
      <c r="B124" s="3"/>
      <c r="C124" s="17"/>
      <c r="D124" s="17"/>
      <c r="E124" s="17"/>
      <c r="F124" s="17"/>
      <c r="G124" s="17"/>
      <c r="H124" s="17"/>
      <c r="I124" s="17"/>
      <c r="J124" s="17"/>
      <c r="K124" s="17"/>
    </row>
    <row r="125" spans="1:11" ht="22.5" x14ac:dyDescent="0.45">
      <c r="A125" s="3"/>
      <c r="B125" s="3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11" ht="22.5" x14ac:dyDescent="0.45">
      <c r="A126" s="3"/>
      <c r="B126" s="3"/>
      <c r="C126" s="17"/>
      <c r="D126" s="17"/>
      <c r="E126" s="17"/>
      <c r="F126" s="17"/>
      <c r="G126" s="17"/>
      <c r="H126" s="17"/>
      <c r="I126" s="17"/>
      <c r="J126" s="17"/>
      <c r="K126" s="17"/>
    </row>
    <row r="127" spans="1:11" ht="22.5" x14ac:dyDescent="0.45">
      <c r="A127" s="3"/>
      <c r="B127" s="3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11" ht="22.5" x14ac:dyDescent="0.45">
      <c r="A128" s="3"/>
      <c r="B128" s="3"/>
      <c r="C128" s="17"/>
      <c r="D128" s="17"/>
      <c r="E128" s="17"/>
      <c r="F128" s="17"/>
      <c r="G128" s="17"/>
      <c r="H128" s="17"/>
      <c r="I128" s="17"/>
      <c r="J128" s="17"/>
      <c r="K128" s="17"/>
    </row>
    <row r="129" spans="1:11" ht="22.5" x14ac:dyDescent="0.45">
      <c r="A129" s="3"/>
      <c r="B129" s="3"/>
      <c r="C129" s="17"/>
      <c r="D129" s="17"/>
      <c r="E129" s="17"/>
      <c r="F129" s="17"/>
      <c r="G129" s="17"/>
      <c r="H129" s="17"/>
      <c r="I129" s="17"/>
      <c r="J129" s="17"/>
      <c r="K129" s="17"/>
    </row>
    <row r="130" spans="1:11" ht="22.5" x14ac:dyDescent="0.45">
      <c r="A130" s="3"/>
      <c r="B130" s="3"/>
      <c r="C130" s="17"/>
      <c r="D130" s="17"/>
      <c r="E130" s="17"/>
      <c r="F130" s="17"/>
      <c r="G130" s="17"/>
      <c r="H130" s="17"/>
      <c r="I130" s="17"/>
      <c r="J130" s="17"/>
      <c r="K130" s="17"/>
    </row>
    <row r="131" spans="1:11" ht="22.5" x14ac:dyDescent="0.45">
      <c r="A131" s="3"/>
      <c r="B131" s="3"/>
      <c r="C131" s="17"/>
      <c r="D131" s="17"/>
      <c r="E131" s="17"/>
      <c r="F131" s="17"/>
      <c r="G131" s="17"/>
      <c r="H131" s="17"/>
      <c r="I131" s="17"/>
      <c r="J131" s="17"/>
      <c r="K131" s="17"/>
    </row>
    <row r="132" spans="1:11" ht="22.5" x14ac:dyDescent="0.45">
      <c r="A132" s="3"/>
      <c r="B132" s="3">
        <f>SUM(B117:B131)</f>
        <v>0</v>
      </c>
      <c r="C132" s="17">
        <f>SUM(C117:C131)</f>
        <v>0</v>
      </c>
      <c r="D132" s="17"/>
      <c r="E132" s="17"/>
      <c r="F132" s="17"/>
      <c r="G132" s="17"/>
      <c r="H132" s="17"/>
      <c r="I132" s="17">
        <f>SUM(I117:I131)</f>
        <v>10</v>
      </c>
      <c r="J132" s="17"/>
      <c r="K132" s="17"/>
    </row>
    <row r="133" spans="1:11" ht="22.5" x14ac:dyDescent="0.45">
      <c r="C133" s="18"/>
      <c r="D133" s="18"/>
      <c r="E133" s="17">
        <f>I132-C132</f>
        <v>10</v>
      </c>
      <c r="F133" s="29" t="s">
        <v>13</v>
      </c>
      <c r="G133" s="30"/>
      <c r="H133" s="18"/>
      <c r="I133" s="18"/>
      <c r="J133" s="18"/>
      <c r="K133" s="18"/>
    </row>
  </sheetData>
  <mergeCells count="24">
    <mergeCell ref="A70:K70"/>
    <mergeCell ref="A1:K1"/>
    <mergeCell ref="A2:G2"/>
    <mergeCell ref="H2:K2"/>
    <mergeCell ref="F20:G20"/>
    <mergeCell ref="A24:K24"/>
    <mergeCell ref="A25:G25"/>
    <mergeCell ref="H25:K25"/>
    <mergeCell ref="F43:G43"/>
    <mergeCell ref="A47:K47"/>
    <mergeCell ref="A48:G48"/>
    <mergeCell ref="H48:K48"/>
    <mergeCell ref="F66:G66"/>
    <mergeCell ref="A71:G71"/>
    <mergeCell ref="H71:K71"/>
    <mergeCell ref="F89:G89"/>
    <mergeCell ref="A92:K92"/>
    <mergeCell ref="A93:G93"/>
    <mergeCell ref="H93:K93"/>
    <mergeCell ref="F111:G111"/>
    <mergeCell ref="A114:K114"/>
    <mergeCell ref="A115:G115"/>
    <mergeCell ref="H115:K115"/>
    <mergeCell ref="F133:G133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"/>
  <sheetViews>
    <sheetView topLeftCell="A85" zoomScaleNormal="100" workbookViewId="0">
      <selection activeCell="H4" sqref="H4:K4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4" t="s">
        <v>118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7" t="s">
        <v>3</v>
      </c>
      <c r="D3" s="17" t="s">
        <v>10</v>
      </c>
      <c r="E3" s="17" t="s">
        <v>5</v>
      </c>
      <c r="F3" s="17" t="s">
        <v>4</v>
      </c>
      <c r="G3" s="17" t="s">
        <v>1</v>
      </c>
      <c r="H3" s="17" t="s">
        <v>26</v>
      </c>
      <c r="I3" s="17" t="s">
        <v>3</v>
      </c>
      <c r="J3" s="17" t="s">
        <v>2</v>
      </c>
      <c r="K3" s="17" t="s">
        <v>1</v>
      </c>
    </row>
    <row r="4" spans="1:11" s="5" customFormat="1" ht="22.5" x14ac:dyDescent="0.45">
      <c r="A4" s="3"/>
      <c r="B4" s="3"/>
      <c r="C4" s="17"/>
      <c r="D4" s="17"/>
      <c r="E4" s="17"/>
      <c r="F4" s="4"/>
      <c r="G4" s="15"/>
      <c r="H4" s="19">
        <v>818</v>
      </c>
      <c r="I4" s="19">
        <v>5</v>
      </c>
      <c r="J4" s="4">
        <v>46153</v>
      </c>
      <c r="K4" s="19" t="s">
        <v>9</v>
      </c>
    </row>
    <row r="5" spans="1:11" ht="22.5" x14ac:dyDescent="0.45">
      <c r="A5" s="3"/>
      <c r="B5" s="3"/>
      <c r="C5" s="17"/>
      <c r="D5" s="17"/>
      <c r="E5" s="17"/>
      <c r="F5" s="4"/>
      <c r="G5" s="16"/>
      <c r="H5" s="17"/>
      <c r="I5" s="17"/>
      <c r="J5" s="4"/>
      <c r="K5" s="17"/>
    </row>
    <row r="6" spans="1:11" ht="22.5" x14ac:dyDescent="0.45">
      <c r="A6" s="3"/>
      <c r="B6" s="3"/>
      <c r="C6" s="17"/>
      <c r="D6" s="17"/>
      <c r="E6" s="17"/>
      <c r="F6" s="4"/>
      <c r="G6" s="16"/>
      <c r="H6" s="17"/>
      <c r="I6" s="17"/>
      <c r="J6" s="17"/>
      <c r="K6" s="17"/>
    </row>
    <row r="7" spans="1:11" ht="22.5" x14ac:dyDescent="0.45">
      <c r="A7" s="3"/>
      <c r="B7" s="3"/>
      <c r="C7" s="17"/>
      <c r="D7" s="17"/>
      <c r="E7" s="17" t="s">
        <v>76</v>
      </c>
      <c r="F7" s="4"/>
      <c r="G7" s="16"/>
      <c r="H7" s="17"/>
      <c r="I7" s="17"/>
      <c r="J7" s="17"/>
      <c r="K7" s="17"/>
    </row>
    <row r="8" spans="1:11" ht="22.5" x14ac:dyDescent="0.45">
      <c r="A8" s="3"/>
      <c r="B8" s="3"/>
      <c r="C8" s="17"/>
      <c r="D8" s="17"/>
      <c r="E8" s="17"/>
      <c r="F8" s="4"/>
      <c r="G8" s="16"/>
      <c r="H8" s="17"/>
      <c r="I8" s="17"/>
      <c r="J8" s="17"/>
      <c r="K8" s="17"/>
    </row>
    <row r="9" spans="1:11" ht="22.5" x14ac:dyDescent="0.45">
      <c r="A9" s="3"/>
      <c r="B9" s="3"/>
      <c r="C9" s="17"/>
      <c r="D9" s="17"/>
      <c r="E9" s="17"/>
      <c r="F9" s="4"/>
      <c r="G9" s="16"/>
      <c r="H9" s="17"/>
      <c r="I9" s="17"/>
      <c r="J9" s="17"/>
      <c r="K9" s="17"/>
    </row>
    <row r="10" spans="1:11" ht="22.5" x14ac:dyDescent="0.45">
      <c r="A10" s="3"/>
      <c r="B10" s="3"/>
      <c r="C10" s="17"/>
      <c r="D10" s="17"/>
      <c r="E10" s="17"/>
      <c r="F10" s="17"/>
      <c r="G10" s="17"/>
      <c r="H10" s="17"/>
      <c r="I10" s="17"/>
      <c r="J10" s="17"/>
      <c r="K10" s="17"/>
    </row>
    <row r="11" spans="1:11" ht="22.5" x14ac:dyDescent="0.45">
      <c r="A11" s="3"/>
      <c r="B11" s="3"/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22.5" x14ac:dyDescent="0.45">
      <c r="A12" s="3"/>
      <c r="B12" s="3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2.5" x14ac:dyDescent="0.45">
      <c r="A13" s="3"/>
      <c r="B13" s="3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22.5" x14ac:dyDescent="0.45">
      <c r="A14" s="3"/>
      <c r="B14" s="3"/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22.5" x14ac:dyDescent="0.45">
      <c r="A15" s="3"/>
      <c r="B15" s="3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2.5" x14ac:dyDescent="0.45">
      <c r="A16" s="3"/>
      <c r="B16" s="3"/>
      <c r="C16" s="17"/>
      <c r="D16" s="17"/>
      <c r="E16" s="17"/>
      <c r="F16" s="17"/>
      <c r="G16" s="17"/>
      <c r="H16" s="17"/>
      <c r="I16" s="17"/>
      <c r="J16" s="17"/>
      <c r="K16" s="17"/>
    </row>
    <row r="17" spans="1:11" ht="22.5" x14ac:dyDescent="0.45">
      <c r="A17" s="3"/>
      <c r="B17" s="3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22.5" x14ac:dyDescent="0.45">
      <c r="A18" s="3"/>
      <c r="B18" s="3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22.5" x14ac:dyDescent="0.45">
      <c r="A19" s="3"/>
      <c r="B19" s="3">
        <f>SUM(B4:B18)</f>
        <v>0</v>
      </c>
      <c r="C19" s="17">
        <f>SUM(C4:C18)</f>
        <v>0</v>
      </c>
      <c r="D19" s="17"/>
      <c r="E19" s="17"/>
      <c r="F19" s="17"/>
      <c r="G19" s="17"/>
      <c r="H19" s="17"/>
      <c r="I19" s="17">
        <f>SUM(I4:I18)</f>
        <v>5</v>
      </c>
      <c r="J19" s="17"/>
      <c r="K19" s="17"/>
    </row>
    <row r="20" spans="1:11" ht="22.5" x14ac:dyDescent="0.45">
      <c r="C20" s="18"/>
      <c r="D20" s="18"/>
      <c r="E20" s="17">
        <f>I19-C19</f>
        <v>5</v>
      </c>
      <c r="F20" s="29" t="s">
        <v>13</v>
      </c>
      <c r="G20" s="30"/>
      <c r="H20" s="18"/>
      <c r="I20" s="18"/>
      <c r="J20" s="18"/>
      <c r="K20" s="18"/>
    </row>
    <row r="21" spans="1:11" ht="22.5" x14ac:dyDescent="0.45"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22.5" x14ac:dyDescent="0.45"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22.5" x14ac:dyDescent="0.45"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8.75" customHeight="1" x14ac:dyDescent="0.45">
      <c r="A24" s="34" t="s">
        <v>110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ht="18.75" customHeight="1" x14ac:dyDescent="0.45">
      <c r="A25" s="32" t="s">
        <v>0</v>
      </c>
      <c r="B25" s="32"/>
      <c r="C25" s="32"/>
      <c r="D25" s="32"/>
      <c r="E25" s="32"/>
      <c r="F25" s="32"/>
      <c r="G25" s="32"/>
      <c r="H25" s="31" t="s">
        <v>6</v>
      </c>
      <c r="I25" s="31"/>
      <c r="J25" s="31"/>
      <c r="K25" s="30"/>
    </row>
    <row r="26" spans="1:11" s="2" customFormat="1" ht="22.5" x14ac:dyDescent="0.45">
      <c r="A26" s="3" t="s">
        <v>8</v>
      </c>
      <c r="B26" s="3" t="s">
        <v>14</v>
      </c>
      <c r="C26" s="17" t="s">
        <v>3</v>
      </c>
      <c r="D26" s="17" t="s">
        <v>10</v>
      </c>
      <c r="E26" s="17" t="s">
        <v>5</v>
      </c>
      <c r="F26" s="17" t="s">
        <v>4</v>
      </c>
      <c r="G26" s="17" t="s">
        <v>1</v>
      </c>
      <c r="H26" s="17" t="s">
        <v>26</v>
      </c>
      <c r="I26" s="17" t="s">
        <v>3</v>
      </c>
      <c r="J26" s="17" t="s">
        <v>2</v>
      </c>
      <c r="K26" s="17" t="s">
        <v>1</v>
      </c>
    </row>
    <row r="27" spans="1:11" s="1" customFormat="1" ht="22.5" x14ac:dyDescent="0.45">
      <c r="A27" s="3"/>
      <c r="B27" s="3"/>
      <c r="C27" s="17"/>
      <c r="D27" s="17"/>
      <c r="E27" s="17"/>
      <c r="F27" s="4"/>
      <c r="G27" s="15"/>
      <c r="H27" s="19">
        <v>818</v>
      </c>
      <c r="I27" s="19">
        <v>5</v>
      </c>
      <c r="J27" s="4">
        <v>46153</v>
      </c>
      <c r="K27" s="19" t="s">
        <v>9</v>
      </c>
    </row>
    <row r="28" spans="1:11" ht="22.5" x14ac:dyDescent="0.45">
      <c r="A28" s="3"/>
      <c r="B28" s="3"/>
      <c r="C28" s="17"/>
      <c r="D28" s="17"/>
      <c r="E28" s="17"/>
      <c r="F28" s="4"/>
      <c r="G28" s="16"/>
      <c r="H28" s="17"/>
      <c r="I28" s="17"/>
      <c r="J28" s="4"/>
      <c r="K28" s="17"/>
    </row>
    <row r="29" spans="1:11" ht="22.5" x14ac:dyDescent="0.45">
      <c r="A29" s="3"/>
      <c r="B29" s="3"/>
      <c r="C29" s="17"/>
      <c r="D29" s="17"/>
      <c r="E29" s="17"/>
      <c r="F29" s="4"/>
      <c r="G29" s="16"/>
      <c r="H29" s="17"/>
      <c r="I29" s="17"/>
      <c r="J29" s="17"/>
      <c r="K29" s="17"/>
    </row>
    <row r="30" spans="1:11" ht="22.5" x14ac:dyDescent="0.45">
      <c r="A30" s="3"/>
      <c r="B30" s="3"/>
      <c r="C30" s="17"/>
      <c r="D30" s="17"/>
      <c r="E30" s="17" t="s">
        <v>76</v>
      </c>
      <c r="F30" s="4"/>
      <c r="G30" s="16"/>
      <c r="H30" s="17"/>
      <c r="I30" s="17"/>
      <c r="J30" s="17"/>
      <c r="K30" s="17"/>
    </row>
    <row r="31" spans="1:11" ht="22.5" x14ac:dyDescent="0.45">
      <c r="A31" s="3"/>
      <c r="B31" s="3"/>
      <c r="C31" s="17"/>
      <c r="D31" s="17"/>
      <c r="E31" s="17"/>
      <c r="F31" s="4"/>
      <c r="G31" s="16"/>
      <c r="H31" s="17"/>
      <c r="I31" s="17"/>
      <c r="J31" s="17"/>
      <c r="K31" s="17"/>
    </row>
    <row r="32" spans="1:11" ht="22.5" x14ac:dyDescent="0.45">
      <c r="A32" s="3"/>
      <c r="B32" s="3"/>
      <c r="C32" s="17"/>
      <c r="D32" s="17"/>
      <c r="E32" s="17"/>
      <c r="F32" s="4"/>
      <c r="G32" s="16"/>
      <c r="H32" s="17"/>
      <c r="I32" s="17"/>
      <c r="J32" s="17"/>
      <c r="K32" s="17"/>
    </row>
    <row r="33" spans="1:11" ht="22.5" x14ac:dyDescent="0.45">
      <c r="A33" s="3"/>
      <c r="B33" s="3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22.5" x14ac:dyDescent="0.45">
      <c r="A34" s="3"/>
      <c r="B34" s="3"/>
      <c r="C34" s="17"/>
      <c r="D34" s="17"/>
      <c r="E34" s="17"/>
      <c r="F34" s="17"/>
      <c r="G34" s="17"/>
      <c r="H34" s="17"/>
      <c r="I34" s="17"/>
      <c r="J34" s="17"/>
      <c r="K34" s="17"/>
    </row>
    <row r="35" spans="1:11" ht="22.5" x14ac:dyDescent="0.45">
      <c r="A35" s="3"/>
      <c r="B35" s="3"/>
      <c r="C35" s="17"/>
      <c r="D35" s="17"/>
      <c r="E35" s="17"/>
      <c r="F35" s="17"/>
      <c r="G35" s="17"/>
      <c r="H35" s="17"/>
      <c r="I35" s="17"/>
      <c r="J35" s="17"/>
      <c r="K35" s="17"/>
    </row>
    <row r="36" spans="1:11" ht="22.5" x14ac:dyDescent="0.45">
      <c r="A36" s="3"/>
      <c r="B36" s="3"/>
      <c r="C36" s="17"/>
      <c r="D36" s="17"/>
      <c r="E36" s="17"/>
      <c r="F36" s="17"/>
      <c r="G36" s="17"/>
      <c r="H36" s="17"/>
      <c r="I36" s="17"/>
      <c r="J36" s="17"/>
      <c r="K36" s="17"/>
    </row>
    <row r="37" spans="1:11" ht="22.5" x14ac:dyDescent="0.45">
      <c r="A37" s="3"/>
      <c r="B37" s="3"/>
      <c r="C37" s="17"/>
      <c r="D37" s="17"/>
      <c r="E37" s="17"/>
      <c r="F37" s="17"/>
      <c r="G37" s="17"/>
      <c r="H37" s="17"/>
      <c r="I37" s="17"/>
      <c r="J37" s="17"/>
      <c r="K37" s="17"/>
    </row>
    <row r="38" spans="1:11" ht="22.5" x14ac:dyDescent="0.45">
      <c r="A38" s="3"/>
      <c r="B38" s="3"/>
      <c r="C38" s="17"/>
      <c r="D38" s="17"/>
      <c r="E38" s="17"/>
      <c r="F38" s="17"/>
      <c r="G38" s="17"/>
      <c r="H38" s="17"/>
      <c r="I38" s="17"/>
      <c r="J38" s="17"/>
      <c r="K38" s="17"/>
    </row>
    <row r="39" spans="1:11" ht="22.5" x14ac:dyDescent="0.45">
      <c r="A39" s="3"/>
      <c r="B39" s="3"/>
      <c r="C39" s="17"/>
      <c r="D39" s="17"/>
      <c r="E39" s="17"/>
      <c r="F39" s="17"/>
      <c r="G39" s="17"/>
      <c r="H39" s="17"/>
      <c r="I39" s="17"/>
      <c r="J39" s="17"/>
      <c r="K39" s="17"/>
    </row>
    <row r="40" spans="1:11" ht="22.5" x14ac:dyDescent="0.45">
      <c r="A40" s="3"/>
      <c r="B40" s="3"/>
      <c r="C40" s="17"/>
      <c r="D40" s="17"/>
      <c r="E40" s="17"/>
      <c r="F40" s="17"/>
      <c r="G40" s="17"/>
      <c r="H40" s="17"/>
      <c r="I40" s="17"/>
      <c r="J40" s="17"/>
      <c r="K40" s="17"/>
    </row>
    <row r="41" spans="1:11" ht="22.5" x14ac:dyDescent="0.45">
      <c r="A41" s="3"/>
      <c r="B41" s="3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22.5" x14ac:dyDescent="0.45">
      <c r="A42" s="3"/>
      <c r="B42" s="3">
        <f>SUM(B27:B41)</f>
        <v>0</v>
      </c>
      <c r="C42" s="17">
        <f>SUM(C27:C41)</f>
        <v>0</v>
      </c>
      <c r="D42" s="17"/>
      <c r="E42" s="17"/>
      <c r="F42" s="17"/>
      <c r="G42" s="17"/>
      <c r="H42" s="17"/>
      <c r="I42" s="17">
        <f>SUM(I27:I41)</f>
        <v>5</v>
      </c>
      <c r="J42" s="17"/>
      <c r="K42" s="17"/>
    </row>
    <row r="43" spans="1:11" ht="22.5" x14ac:dyDescent="0.45">
      <c r="C43" s="18"/>
      <c r="D43" s="18"/>
      <c r="E43" s="17">
        <f>I42-C42</f>
        <v>5</v>
      </c>
      <c r="F43" s="29" t="s">
        <v>13</v>
      </c>
      <c r="G43" s="30"/>
      <c r="H43" s="18"/>
      <c r="I43" s="18"/>
      <c r="J43" s="18"/>
      <c r="K43" s="18"/>
    </row>
    <row r="44" spans="1:11" ht="15" x14ac:dyDescent="0.25">
      <c r="A44"/>
      <c r="B44"/>
      <c r="C44"/>
      <c r="D44"/>
      <c r="E44"/>
      <c r="F44"/>
      <c r="G44"/>
      <c r="H44"/>
      <c r="I44"/>
      <c r="J44"/>
      <c r="K44"/>
    </row>
    <row r="45" spans="1:11" ht="15" x14ac:dyDescent="0.25">
      <c r="A45"/>
      <c r="B45"/>
      <c r="C45"/>
      <c r="D45"/>
      <c r="E45"/>
      <c r="F45"/>
      <c r="G45"/>
      <c r="H45"/>
      <c r="I45"/>
      <c r="J45"/>
      <c r="K45"/>
    </row>
    <row r="46" spans="1:11" ht="15" x14ac:dyDescent="0.25">
      <c r="A46"/>
      <c r="B46"/>
      <c r="C46"/>
      <c r="D46"/>
      <c r="E46"/>
      <c r="F46"/>
      <c r="G46"/>
      <c r="H46"/>
      <c r="I46"/>
      <c r="J46"/>
      <c r="K46"/>
    </row>
    <row r="47" spans="1:11" ht="22.5" x14ac:dyDescent="0.45">
      <c r="A47" s="34" t="s">
        <v>111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1" s="2" customFormat="1" ht="22.5" x14ac:dyDescent="0.45">
      <c r="A48" s="32" t="s">
        <v>0</v>
      </c>
      <c r="B48" s="32"/>
      <c r="C48" s="32"/>
      <c r="D48" s="32"/>
      <c r="E48" s="32"/>
      <c r="F48" s="32"/>
      <c r="G48" s="32"/>
      <c r="H48" s="31" t="s">
        <v>6</v>
      </c>
      <c r="I48" s="31"/>
      <c r="J48" s="31"/>
      <c r="K48" s="30"/>
    </row>
    <row r="49" spans="1:11" s="1" customFormat="1" ht="22.5" x14ac:dyDescent="0.45">
      <c r="A49" s="3" t="s">
        <v>8</v>
      </c>
      <c r="B49" s="3" t="s">
        <v>14</v>
      </c>
      <c r="C49" s="17" t="s">
        <v>3</v>
      </c>
      <c r="D49" s="17" t="s">
        <v>10</v>
      </c>
      <c r="E49" s="17" t="s">
        <v>5</v>
      </c>
      <c r="F49" s="17" t="s">
        <v>4</v>
      </c>
      <c r="G49" s="17" t="s">
        <v>1</v>
      </c>
      <c r="H49" s="17" t="s">
        <v>26</v>
      </c>
      <c r="I49" s="17" t="s">
        <v>3</v>
      </c>
      <c r="J49" s="17" t="s">
        <v>2</v>
      </c>
      <c r="K49" s="17" t="s">
        <v>1</v>
      </c>
    </row>
    <row r="50" spans="1:11" ht="22.5" x14ac:dyDescent="0.45">
      <c r="A50" s="3"/>
      <c r="B50" s="3"/>
      <c r="C50" s="17"/>
      <c r="D50" s="17"/>
      <c r="E50" s="17"/>
      <c r="F50" s="4"/>
      <c r="G50" s="15"/>
      <c r="H50" s="19">
        <v>818</v>
      </c>
      <c r="I50" s="19">
        <v>5</v>
      </c>
      <c r="J50" s="4">
        <v>46153</v>
      </c>
      <c r="K50" s="19" t="s">
        <v>9</v>
      </c>
    </row>
    <row r="51" spans="1:11" ht="22.5" x14ac:dyDescent="0.45">
      <c r="A51" s="3"/>
      <c r="B51" s="3"/>
      <c r="C51" s="17"/>
      <c r="D51" s="17"/>
      <c r="E51" s="17"/>
      <c r="F51" s="4"/>
      <c r="G51" s="16"/>
      <c r="H51" s="17"/>
      <c r="I51" s="17"/>
      <c r="J51" s="4"/>
      <c r="K51" s="17"/>
    </row>
    <row r="52" spans="1:11" ht="22.5" x14ac:dyDescent="0.45">
      <c r="A52" s="3"/>
      <c r="B52" s="3"/>
      <c r="C52" s="17"/>
      <c r="D52" s="17"/>
      <c r="E52" s="17"/>
      <c r="F52" s="4"/>
      <c r="G52" s="16"/>
      <c r="H52" s="17"/>
      <c r="I52" s="17"/>
      <c r="J52" s="17"/>
      <c r="K52" s="17"/>
    </row>
    <row r="53" spans="1:11" ht="22.5" x14ac:dyDescent="0.45">
      <c r="A53" s="3"/>
      <c r="B53" s="3"/>
      <c r="C53" s="17"/>
      <c r="D53" s="17"/>
      <c r="E53" s="17" t="s">
        <v>76</v>
      </c>
      <c r="F53" s="4"/>
      <c r="G53" s="16"/>
      <c r="H53" s="17"/>
      <c r="I53" s="17"/>
      <c r="J53" s="17"/>
      <c r="K53" s="17"/>
    </row>
    <row r="54" spans="1:11" ht="22.5" x14ac:dyDescent="0.45">
      <c r="A54" s="3"/>
      <c r="B54" s="3"/>
      <c r="C54" s="17"/>
      <c r="D54" s="17"/>
      <c r="E54" s="17"/>
      <c r="F54" s="4"/>
      <c r="G54" s="16"/>
      <c r="H54" s="17"/>
      <c r="I54" s="17"/>
      <c r="J54" s="17"/>
      <c r="K54" s="17"/>
    </row>
    <row r="55" spans="1:11" ht="22.5" x14ac:dyDescent="0.45">
      <c r="A55" s="3"/>
      <c r="B55" s="3"/>
      <c r="C55" s="17"/>
      <c r="D55" s="17"/>
      <c r="E55" s="17"/>
      <c r="F55" s="4"/>
      <c r="G55" s="16"/>
      <c r="H55" s="17"/>
      <c r="I55" s="17"/>
      <c r="J55" s="17"/>
      <c r="K55" s="17"/>
    </row>
    <row r="56" spans="1:11" ht="22.5" x14ac:dyDescent="0.45">
      <c r="A56" s="3"/>
      <c r="B56" s="3"/>
      <c r="C56" s="17"/>
      <c r="D56" s="17"/>
      <c r="E56" s="17"/>
      <c r="F56" s="17"/>
      <c r="G56" s="17"/>
      <c r="H56" s="17"/>
      <c r="I56" s="17"/>
      <c r="J56" s="17"/>
      <c r="K56" s="17"/>
    </row>
    <row r="57" spans="1:11" ht="22.5" x14ac:dyDescent="0.45">
      <c r="A57" s="3"/>
      <c r="B57" s="3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22.5" x14ac:dyDescent="0.45">
      <c r="A58" s="3"/>
      <c r="B58" s="3"/>
      <c r="C58" s="17"/>
      <c r="D58" s="17"/>
      <c r="E58" s="17"/>
      <c r="F58" s="17"/>
      <c r="G58" s="17"/>
      <c r="H58" s="17"/>
      <c r="I58" s="17"/>
      <c r="J58" s="17"/>
      <c r="K58" s="17"/>
    </row>
    <row r="59" spans="1:11" ht="22.5" x14ac:dyDescent="0.45">
      <c r="A59" s="3"/>
      <c r="B59" s="3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22.5" x14ac:dyDescent="0.45">
      <c r="A60" s="3"/>
      <c r="B60" s="3"/>
      <c r="C60" s="17"/>
      <c r="D60" s="17"/>
      <c r="E60" s="17"/>
      <c r="F60" s="17"/>
      <c r="G60" s="17"/>
      <c r="H60" s="17"/>
      <c r="I60" s="17"/>
      <c r="J60" s="17"/>
      <c r="K60" s="17"/>
    </row>
    <row r="61" spans="1:11" ht="22.5" x14ac:dyDescent="0.45">
      <c r="A61" s="3"/>
      <c r="B61" s="3"/>
      <c r="C61" s="17"/>
      <c r="D61" s="17"/>
      <c r="E61" s="17"/>
      <c r="F61" s="17"/>
      <c r="G61" s="17"/>
      <c r="H61" s="17"/>
      <c r="I61" s="17"/>
      <c r="J61" s="17"/>
      <c r="K61" s="17"/>
    </row>
    <row r="62" spans="1:11" ht="22.5" x14ac:dyDescent="0.45">
      <c r="A62" s="3"/>
      <c r="B62" s="3"/>
      <c r="C62" s="17"/>
      <c r="D62" s="17"/>
      <c r="E62" s="17"/>
      <c r="F62" s="17"/>
      <c r="G62" s="17"/>
      <c r="H62" s="17"/>
      <c r="I62" s="17"/>
      <c r="J62" s="17"/>
      <c r="K62" s="17"/>
    </row>
    <row r="63" spans="1:11" ht="22.5" x14ac:dyDescent="0.45">
      <c r="A63" s="3"/>
      <c r="B63" s="3"/>
      <c r="C63" s="17"/>
      <c r="D63" s="17"/>
      <c r="E63" s="17"/>
      <c r="F63" s="17"/>
      <c r="G63" s="17"/>
      <c r="H63" s="17"/>
      <c r="I63" s="17"/>
      <c r="J63" s="17"/>
      <c r="K63" s="17"/>
    </row>
    <row r="64" spans="1:11" ht="22.5" x14ac:dyDescent="0.45">
      <c r="A64" s="3"/>
      <c r="B64" s="3"/>
      <c r="C64" s="17"/>
      <c r="D64" s="17"/>
      <c r="E64" s="17"/>
      <c r="F64" s="17"/>
      <c r="G64" s="17"/>
      <c r="H64" s="17"/>
      <c r="I64" s="17"/>
      <c r="J64" s="17"/>
      <c r="K64" s="17"/>
    </row>
    <row r="65" spans="1:11" ht="22.5" x14ac:dyDescent="0.45">
      <c r="A65" s="3"/>
      <c r="B65" s="3">
        <f>SUM(B50:B64)</f>
        <v>0</v>
      </c>
      <c r="C65" s="17">
        <f>SUM(C50:C64)</f>
        <v>0</v>
      </c>
      <c r="D65" s="17"/>
      <c r="E65" s="17"/>
      <c r="F65" s="17"/>
      <c r="G65" s="17"/>
      <c r="H65" s="17"/>
      <c r="I65" s="17">
        <f>SUM(I50:I64)</f>
        <v>5</v>
      </c>
      <c r="J65" s="17"/>
      <c r="K65" s="17"/>
    </row>
    <row r="66" spans="1:11" ht="22.5" x14ac:dyDescent="0.45">
      <c r="C66" s="18"/>
      <c r="D66" s="18"/>
      <c r="E66" s="17">
        <f>I65-C65</f>
        <v>5</v>
      </c>
      <c r="F66" s="29" t="s">
        <v>13</v>
      </c>
      <c r="G66" s="30"/>
      <c r="H66" s="18"/>
      <c r="I66" s="18"/>
      <c r="J66" s="18"/>
      <c r="K66" s="18"/>
    </row>
    <row r="70" spans="1:11" ht="22.5" x14ac:dyDescent="0.45">
      <c r="A70" s="34" t="s">
        <v>123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</row>
    <row r="71" spans="1:11" ht="22.5" x14ac:dyDescent="0.45">
      <c r="A71" s="32" t="s">
        <v>0</v>
      </c>
      <c r="B71" s="32"/>
      <c r="C71" s="32"/>
      <c r="D71" s="32"/>
      <c r="E71" s="32"/>
      <c r="F71" s="32"/>
      <c r="G71" s="32"/>
      <c r="H71" s="31" t="s">
        <v>6</v>
      </c>
      <c r="I71" s="31"/>
      <c r="J71" s="31"/>
      <c r="K71" s="30"/>
    </row>
    <row r="72" spans="1:11" ht="22.5" x14ac:dyDescent="0.45">
      <c r="A72" s="3" t="s">
        <v>8</v>
      </c>
      <c r="B72" s="3" t="s">
        <v>14</v>
      </c>
      <c r="C72" s="17" t="s">
        <v>3</v>
      </c>
      <c r="D72" s="17" t="s">
        <v>10</v>
      </c>
      <c r="E72" s="17" t="s">
        <v>5</v>
      </c>
      <c r="F72" s="17" t="s">
        <v>4</v>
      </c>
      <c r="G72" s="17" t="s">
        <v>1</v>
      </c>
      <c r="H72" s="17" t="s">
        <v>26</v>
      </c>
      <c r="I72" s="17" t="s">
        <v>3</v>
      </c>
      <c r="J72" s="17" t="s">
        <v>2</v>
      </c>
      <c r="K72" s="17" t="s">
        <v>1</v>
      </c>
    </row>
    <row r="73" spans="1:11" ht="22.5" x14ac:dyDescent="0.45">
      <c r="A73" s="3"/>
      <c r="B73" s="3"/>
      <c r="C73" s="17"/>
      <c r="D73" s="17"/>
      <c r="E73" s="17"/>
      <c r="F73" s="4"/>
      <c r="G73" s="15"/>
      <c r="H73" s="19">
        <v>818</v>
      </c>
      <c r="I73" s="19">
        <v>5</v>
      </c>
      <c r="J73" s="4">
        <v>46153</v>
      </c>
      <c r="K73" s="19" t="s">
        <v>9</v>
      </c>
    </row>
    <row r="74" spans="1:11" ht="22.5" x14ac:dyDescent="0.45">
      <c r="A74" s="3"/>
      <c r="B74" s="3"/>
      <c r="C74" s="17"/>
      <c r="D74" s="17"/>
      <c r="E74" s="17"/>
      <c r="F74" s="4"/>
      <c r="G74" s="16"/>
      <c r="H74" s="17"/>
      <c r="I74" s="17"/>
      <c r="J74" s="4"/>
      <c r="K74" s="17"/>
    </row>
    <row r="75" spans="1:11" ht="22.5" x14ac:dyDescent="0.45">
      <c r="A75" s="3"/>
      <c r="B75" s="3"/>
      <c r="C75" s="17"/>
      <c r="D75" s="17"/>
      <c r="E75" s="17"/>
      <c r="F75" s="4"/>
      <c r="G75" s="16"/>
      <c r="H75" s="17"/>
      <c r="I75" s="17"/>
      <c r="J75" s="17"/>
      <c r="K75" s="17"/>
    </row>
    <row r="76" spans="1:11" ht="22.5" x14ac:dyDescent="0.45">
      <c r="A76" s="3"/>
      <c r="B76" s="3"/>
      <c r="C76" s="17"/>
      <c r="D76" s="17"/>
      <c r="E76" s="17" t="s">
        <v>76</v>
      </c>
      <c r="F76" s="4"/>
      <c r="G76" s="16"/>
      <c r="H76" s="17"/>
      <c r="I76" s="17"/>
      <c r="J76" s="17"/>
      <c r="K76" s="17"/>
    </row>
    <row r="77" spans="1:11" ht="22.5" x14ac:dyDescent="0.45">
      <c r="A77" s="3"/>
      <c r="B77" s="3"/>
      <c r="C77" s="17"/>
      <c r="D77" s="17"/>
      <c r="E77" s="17"/>
      <c r="F77" s="4"/>
      <c r="G77" s="16"/>
      <c r="H77" s="17"/>
      <c r="I77" s="17"/>
      <c r="J77" s="17"/>
      <c r="K77" s="17"/>
    </row>
    <row r="78" spans="1:11" ht="22.5" x14ac:dyDescent="0.45">
      <c r="A78" s="3"/>
      <c r="B78" s="3"/>
      <c r="C78" s="17"/>
      <c r="D78" s="17"/>
      <c r="E78" s="17"/>
      <c r="F78" s="4"/>
      <c r="G78" s="16"/>
      <c r="H78" s="17"/>
      <c r="I78" s="17"/>
      <c r="J78" s="17"/>
      <c r="K78" s="17"/>
    </row>
    <row r="79" spans="1:11" ht="22.5" x14ac:dyDescent="0.45">
      <c r="A79" s="3"/>
      <c r="B79" s="3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22.5" x14ac:dyDescent="0.45">
      <c r="A80" s="3"/>
      <c r="B80" s="3"/>
      <c r="C80" s="17"/>
      <c r="D80" s="17"/>
      <c r="E80" s="17"/>
      <c r="F80" s="17"/>
      <c r="G80" s="17"/>
      <c r="H80" s="17"/>
      <c r="I80" s="17"/>
      <c r="J80" s="17"/>
      <c r="K80" s="17"/>
    </row>
    <row r="81" spans="1:11" ht="22.5" x14ac:dyDescent="0.45">
      <c r="A81" s="3"/>
      <c r="B81" s="3"/>
      <c r="C81" s="17"/>
      <c r="D81" s="17"/>
      <c r="E81" s="17"/>
      <c r="F81" s="17"/>
      <c r="G81" s="17"/>
      <c r="H81" s="17"/>
      <c r="I81" s="17"/>
      <c r="J81" s="17"/>
      <c r="K81" s="17"/>
    </row>
    <row r="82" spans="1:11" ht="22.5" x14ac:dyDescent="0.45">
      <c r="A82" s="3"/>
      <c r="B82" s="3"/>
      <c r="C82" s="17"/>
      <c r="D82" s="17"/>
      <c r="E82" s="17"/>
      <c r="F82" s="17"/>
      <c r="G82" s="17"/>
      <c r="H82" s="17"/>
      <c r="I82" s="17"/>
      <c r="J82" s="17"/>
      <c r="K82" s="17"/>
    </row>
    <row r="83" spans="1:11" ht="22.5" x14ac:dyDescent="0.45">
      <c r="A83" s="3"/>
      <c r="B83" s="3"/>
      <c r="C83" s="17"/>
      <c r="D83" s="17"/>
      <c r="E83" s="17"/>
      <c r="F83" s="17"/>
      <c r="G83" s="17"/>
      <c r="H83" s="17"/>
      <c r="I83" s="17"/>
      <c r="J83" s="17"/>
      <c r="K83" s="17"/>
    </row>
    <row r="84" spans="1:11" ht="22.5" x14ac:dyDescent="0.45">
      <c r="A84" s="3"/>
      <c r="B84" s="3"/>
      <c r="C84" s="17"/>
      <c r="D84" s="17"/>
      <c r="E84" s="17"/>
      <c r="F84" s="17"/>
      <c r="G84" s="17"/>
      <c r="H84" s="17"/>
      <c r="I84" s="17"/>
      <c r="J84" s="17"/>
      <c r="K84" s="17"/>
    </row>
    <row r="85" spans="1:11" ht="22.5" x14ac:dyDescent="0.45">
      <c r="A85" s="3"/>
      <c r="B85" s="3"/>
      <c r="C85" s="17"/>
      <c r="D85" s="17"/>
      <c r="E85" s="17"/>
      <c r="F85" s="17"/>
      <c r="G85" s="17"/>
      <c r="H85" s="17"/>
      <c r="I85" s="17"/>
      <c r="J85" s="17"/>
      <c r="K85" s="17"/>
    </row>
    <row r="86" spans="1:11" ht="22.5" x14ac:dyDescent="0.45">
      <c r="A86" s="3"/>
      <c r="B86" s="3"/>
      <c r="C86" s="17"/>
      <c r="D86" s="17"/>
      <c r="E86" s="17"/>
      <c r="F86" s="17"/>
      <c r="G86" s="17"/>
      <c r="H86" s="17"/>
      <c r="I86" s="17"/>
      <c r="J86" s="17"/>
      <c r="K86" s="17"/>
    </row>
    <row r="87" spans="1:11" ht="22.5" x14ac:dyDescent="0.45">
      <c r="A87" s="3"/>
      <c r="B87" s="3"/>
      <c r="C87" s="17"/>
      <c r="D87" s="17"/>
      <c r="E87" s="17"/>
      <c r="F87" s="17"/>
      <c r="G87" s="17"/>
      <c r="H87" s="17"/>
      <c r="I87" s="17"/>
      <c r="J87" s="17"/>
      <c r="K87" s="17"/>
    </row>
    <row r="88" spans="1:11" ht="22.5" x14ac:dyDescent="0.45">
      <c r="A88" s="3"/>
      <c r="B88" s="3">
        <f>SUM(B73:B87)</f>
        <v>0</v>
      </c>
      <c r="C88" s="17">
        <f>SUM(C73:C87)</f>
        <v>0</v>
      </c>
      <c r="D88" s="17"/>
      <c r="E88" s="17"/>
      <c r="F88" s="17"/>
      <c r="G88" s="17"/>
      <c r="H88" s="17"/>
      <c r="I88" s="17">
        <f>SUM(I73:I87)</f>
        <v>5</v>
      </c>
      <c r="J88" s="17"/>
      <c r="K88" s="17"/>
    </row>
    <row r="89" spans="1:11" ht="22.5" x14ac:dyDescent="0.45">
      <c r="C89" s="18"/>
      <c r="D89" s="18"/>
      <c r="E89" s="17">
        <f>I88-C88</f>
        <v>5</v>
      </c>
      <c r="F89" s="29" t="s">
        <v>13</v>
      </c>
      <c r="G89" s="30"/>
      <c r="H89" s="18"/>
      <c r="I89" s="18"/>
      <c r="J89" s="18"/>
      <c r="K89" s="18"/>
    </row>
    <row r="92" spans="1:11" ht="22.5" x14ac:dyDescent="0.45">
      <c r="A92" s="33" t="s">
        <v>122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 ht="22.5" x14ac:dyDescent="0.45">
      <c r="A93" s="32" t="s">
        <v>0</v>
      </c>
      <c r="B93" s="32"/>
      <c r="C93" s="32"/>
      <c r="D93" s="32"/>
      <c r="E93" s="32"/>
      <c r="F93" s="32"/>
      <c r="G93" s="32"/>
      <c r="H93" s="31" t="s">
        <v>6</v>
      </c>
      <c r="I93" s="31"/>
      <c r="J93" s="31"/>
      <c r="K93" s="30"/>
    </row>
    <row r="94" spans="1:11" ht="22.5" x14ac:dyDescent="0.45">
      <c r="A94" s="3" t="s">
        <v>8</v>
      </c>
      <c r="B94" s="3" t="s">
        <v>14</v>
      </c>
      <c r="C94" s="17" t="s">
        <v>3</v>
      </c>
      <c r="D94" s="17" t="s">
        <v>10</v>
      </c>
      <c r="E94" s="17" t="s">
        <v>5</v>
      </c>
      <c r="F94" s="17" t="s">
        <v>4</v>
      </c>
      <c r="G94" s="17" t="s">
        <v>1</v>
      </c>
      <c r="H94" s="17" t="s">
        <v>26</v>
      </c>
      <c r="I94" s="17" t="s">
        <v>3</v>
      </c>
      <c r="J94" s="17" t="s">
        <v>2</v>
      </c>
      <c r="K94" s="17" t="s">
        <v>1</v>
      </c>
    </row>
    <row r="95" spans="1:11" ht="22.5" x14ac:dyDescent="0.45">
      <c r="A95" s="3"/>
      <c r="B95" s="3"/>
      <c r="C95" s="17">
        <v>1</v>
      </c>
      <c r="D95" s="17"/>
      <c r="E95" s="17"/>
      <c r="F95" s="4"/>
      <c r="G95" s="15"/>
      <c r="H95" s="19">
        <v>818</v>
      </c>
      <c r="I95" s="19">
        <v>5</v>
      </c>
      <c r="J95" s="4">
        <v>46153</v>
      </c>
      <c r="K95" s="19" t="s">
        <v>9</v>
      </c>
    </row>
    <row r="96" spans="1:11" ht="22.5" x14ac:dyDescent="0.45">
      <c r="A96" s="3"/>
      <c r="B96" s="3"/>
      <c r="C96" s="17">
        <v>1</v>
      </c>
      <c r="D96" s="17"/>
      <c r="E96" s="17"/>
      <c r="F96" s="4"/>
      <c r="G96" s="16"/>
      <c r="H96" s="17"/>
      <c r="I96" s="17"/>
      <c r="J96" s="4"/>
      <c r="K96" s="17"/>
    </row>
    <row r="97" spans="1:11" ht="22.5" x14ac:dyDescent="0.45">
      <c r="A97" s="3"/>
      <c r="B97" s="3"/>
      <c r="C97" s="17"/>
      <c r="D97" s="17"/>
      <c r="E97" s="17"/>
      <c r="F97" s="4"/>
      <c r="G97" s="16"/>
      <c r="H97" s="17"/>
      <c r="I97" s="17"/>
      <c r="J97" s="17"/>
      <c r="K97" s="17"/>
    </row>
    <row r="98" spans="1:11" ht="22.5" x14ac:dyDescent="0.45">
      <c r="A98" s="3"/>
      <c r="B98" s="3"/>
      <c r="C98" s="17"/>
      <c r="D98" s="17"/>
      <c r="E98" s="17" t="s">
        <v>76</v>
      </c>
      <c r="F98" s="4"/>
      <c r="G98" s="16"/>
      <c r="H98" s="17"/>
      <c r="I98" s="17"/>
      <c r="J98" s="17"/>
      <c r="K98" s="17"/>
    </row>
    <row r="99" spans="1:11" ht="22.5" x14ac:dyDescent="0.45">
      <c r="A99" s="3"/>
      <c r="B99" s="3"/>
      <c r="C99" s="17"/>
      <c r="D99" s="17"/>
      <c r="E99" s="17"/>
      <c r="F99" s="4"/>
      <c r="G99" s="16"/>
      <c r="H99" s="17"/>
      <c r="I99" s="17"/>
      <c r="J99" s="17"/>
      <c r="K99" s="17"/>
    </row>
    <row r="100" spans="1:11" ht="22.5" x14ac:dyDescent="0.45">
      <c r="A100" s="3"/>
      <c r="B100" s="3"/>
      <c r="C100" s="17"/>
      <c r="D100" s="17"/>
      <c r="E100" s="17"/>
      <c r="F100" s="4"/>
      <c r="G100" s="16"/>
      <c r="H100" s="17"/>
      <c r="I100" s="17"/>
      <c r="J100" s="17"/>
      <c r="K100" s="17"/>
    </row>
    <row r="101" spans="1:11" ht="22.5" x14ac:dyDescent="0.45">
      <c r="A101" s="3"/>
      <c r="B101" s="3"/>
      <c r="C101" s="17"/>
      <c r="D101" s="17"/>
      <c r="E101" s="17"/>
      <c r="F101" s="17"/>
      <c r="G101" s="17"/>
      <c r="H101" s="17"/>
      <c r="I101" s="17"/>
      <c r="J101" s="17"/>
      <c r="K101" s="17"/>
    </row>
    <row r="102" spans="1:11" ht="22.5" x14ac:dyDescent="0.45">
      <c r="A102" s="3"/>
      <c r="B102" s="3"/>
      <c r="C102" s="17"/>
      <c r="D102" s="17"/>
      <c r="E102" s="17"/>
      <c r="F102" s="17"/>
      <c r="G102" s="17"/>
      <c r="H102" s="17"/>
      <c r="I102" s="17"/>
      <c r="J102" s="17"/>
      <c r="K102" s="17"/>
    </row>
    <row r="103" spans="1:11" ht="22.5" x14ac:dyDescent="0.45">
      <c r="A103" s="3"/>
      <c r="B103" s="3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 ht="22.5" x14ac:dyDescent="0.45">
      <c r="A104" s="3"/>
      <c r="B104" s="3"/>
      <c r="C104" s="17"/>
      <c r="D104" s="17"/>
      <c r="E104" s="17"/>
      <c r="F104" s="17"/>
      <c r="G104" s="17"/>
      <c r="H104" s="17"/>
      <c r="I104" s="17"/>
      <c r="J104" s="17"/>
      <c r="K104" s="17"/>
    </row>
    <row r="105" spans="1:11" ht="22.5" x14ac:dyDescent="0.45">
      <c r="A105" s="3"/>
      <c r="B105" s="3"/>
      <c r="C105" s="17"/>
      <c r="D105" s="17"/>
      <c r="E105" s="17"/>
      <c r="F105" s="17"/>
      <c r="G105" s="17"/>
      <c r="H105" s="17"/>
      <c r="I105" s="17"/>
      <c r="J105" s="17"/>
      <c r="K105" s="17"/>
    </row>
    <row r="106" spans="1:11" ht="22.5" x14ac:dyDescent="0.45">
      <c r="A106" s="3"/>
      <c r="B106" s="3"/>
      <c r="C106" s="17"/>
      <c r="D106" s="17"/>
      <c r="E106" s="17"/>
      <c r="F106" s="17"/>
      <c r="G106" s="17"/>
      <c r="H106" s="17"/>
      <c r="I106" s="17"/>
      <c r="J106" s="17"/>
      <c r="K106" s="17"/>
    </row>
    <row r="107" spans="1:11" ht="22.5" x14ac:dyDescent="0.45">
      <c r="A107" s="3"/>
      <c r="B107" s="3"/>
      <c r="C107" s="17"/>
      <c r="D107" s="17"/>
      <c r="E107" s="17"/>
      <c r="F107" s="17"/>
      <c r="G107" s="17"/>
      <c r="H107" s="17"/>
      <c r="I107" s="17"/>
      <c r="J107" s="17"/>
      <c r="K107" s="17"/>
    </row>
    <row r="108" spans="1:11" ht="22.5" x14ac:dyDescent="0.45">
      <c r="A108" s="3"/>
      <c r="B108" s="3"/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1:11" ht="22.5" x14ac:dyDescent="0.45">
      <c r="A109" s="3"/>
      <c r="B109" s="3"/>
      <c r="C109" s="17"/>
      <c r="D109" s="17"/>
      <c r="E109" s="17"/>
      <c r="F109" s="17"/>
      <c r="G109" s="17"/>
      <c r="H109" s="17"/>
      <c r="I109" s="17"/>
      <c r="J109" s="17"/>
      <c r="K109" s="17"/>
    </row>
    <row r="110" spans="1:11" ht="22.5" x14ac:dyDescent="0.45">
      <c r="A110" s="3"/>
      <c r="B110" s="3">
        <f>SUM(B95:B109)</f>
        <v>0</v>
      </c>
      <c r="C110" s="17">
        <f>SUM(C95:C109)</f>
        <v>2</v>
      </c>
      <c r="D110" s="17"/>
      <c r="E110" s="17"/>
      <c r="F110" s="17"/>
      <c r="G110" s="17"/>
      <c r="H110" s="17"/>
      <c r="I110" s="17">
        <f>SUM(I95:I109)</f>
        <v>5</v>
      </c>
      <c r="J110" s="17"/>
      <c r="K110" s="17"/>
    </row>
    <row r="111" spans="1:11" ht="22.5" x14ac:dyDescent="0.45">
      <c r="C111" s="18"/>
      <c r="D111" s="18"/>
      <c r="E111" s="17">
        <f>I110-C110</f>
        <v>3</v>
      </c>
      <c r="F111" s="29" t="s">
        <v>13</v>
      </c>
      <c r="G111" s="30"/>
      <c r="H111" s="18"/>
      <c r="I111" s="18"/>
      <c r="J111" s="18"/>
      <c r="K111" s="18"/>
    </row>
    <row r="114" spans="1:11" ht="22.5" x14ac:dyDescent="0.45">
      <c r="A114" s="34" t="s">
        <v>124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ht="22.5" x14ac:dyDescent="0.45">
      <c r="A115" s="32" t="s">
        <v>0</v>
      </c>
      <c r="B115" s="32"/>
      <c r="C115" s="32"/>
      <c r="D115" s="32"/>
      <c r="E115" s="32"/>
      <c r="F115" s="32"/>
      <c r="G115" s="32"/>
      <c r="H115" s="31" t="s">
        <v>6</v>
      </c>
      <c r="I115" s="31"/>
      <c r="J115" s="31"/>
      <c r="K115" s="30"/>
    </row>
    <row r="116" spans="1:11" ht="22.5" x14ac:dyDescent="0.45">
      <c r="A116" s="3" t="s">
        <v>8</v>
      </c>
      <c r="B116" s="3" t="s">
        <v>14</v>
      </c>
      <c r="C116" s="17" t="s">
        <v>3</v>
      </c>
      <c r="D116" s="17" t="s">
        <v>10</v>
      </c>
      <c r="E116" s="17" t="s">
        <v>5</v>
      </c>
      <c r="F116" s="17" t="s">
        <v>4</v>
      </c>
      <c r="G116" s="17" t="s">
        <v>1</v>
      </c>
      <c r="H116" s="17" t="s">
        <v>26</v>
      </c>
      <c r="I116" s="17" t="s">
        <v>3</v>
      </c>
      <c r="J116" s="17" t="s">
        <v>2</v>
      </c>
      <c r="K116" s="17" t="s">
        <v>1</v>
      </c>
    </row>
    <row r="117" spans="1:11" ht="22.5" x14ac:dyDescent="0.45">
      <c r="A117" s="3"/>
      <c r="B117" s="3"/>
      <c r="C117" s="17"/>
      <c r="D117" s="17"/>
      <c r="E117" s="17"/>
      <c r="F117" s="4"/>
      <c r="G117" s="15"/>
      <c r="H117" s="19" t="s">
        <v>76</v>
      </c>
      <c r="I117" s="19">
        <v>5</v>
      </c>
      <c r="J117" s="4">
        <v>46153</v>
      </c>
      <c r="K117" s="19" t="s">
        <v>9</v>
      </c>
    </row>
    <row r="118" spans="1:11" ht="22.5" x14ac:dyDescent="0.45">
      <c r="A118" s="3"/>
      <c r="B118" s="3"/>
      <c r="C118" s="17"/>
      <c r="D118" s="17"/>
      <c r="E118" s="17"/>
      <c r="F118" s="4"/>
      <c r="G118" s="16"/>
      <c r="H118" s="17"/>
      <c r="I118" s="17"/>
      <c r="J118" s="4"/>
      <c r="K118" s="17"/>
    </row>
    <row r="119" spans="1:11" ht="22.5" x14ac:dyDescent="0.45">
      <c r="A119" s="3"/>
      <c r="B119" s="3"/>
      <c r="C119" s="17"/>
      <c r="D119" s="17"/>
      <c r="E119" s="17"/>
      <c r="F119" s="4"/>
      <c r="G119" s="16"/>
      <c r="H119" s="17"/>
      <c r="I119" s="17"/>
      <c r="J119" s="17"/>
      <c r="K119" s="17"/>
    </row>
    <row r="120" spans="1:11" ht="22.5" x14ac:dyDescent="0.45">
      <c r="A120" s="3"/>
      <c r="B120" s="3"/>
      <c r="C120" s="17"/>
      <c r="D120" s="17"/>
      <c r="E120" s="17" t="s">
        <v>76</v>
      </c>
      <c r="F120" s="4"/>
      <c r="G120" s="16"/>
      <c r="H120" s="17"/>
      <c r="I120" s="17"/>
      <c r="J120" s="17"/>
      <c r="K120" s="17"/>
    </row>
    <row r="121" spans="1:11" ht="22.5" x14ac:dyDescent="0.45">
      <c r="A121" s="3"/>
      <c r="B121" s="3"/>
      <c r="C121" s="17"/>
      <c r="D121" s="17"/>
      <c r="E121" s="17"/>
      <c r="F121" s="4"/>
      <c r="G121" s="16"/>
      <c r="H121" s="17"/>
      <c r="I121" s="17"/>
      <c r="J121" s="17"/>
      <c r="K121" s="17"/>
    </row>
    <row r="122" spans="1:11" ht="22.5" x14ac:dyDescent="0.45">
      <c r="A122" s="3"/>
      <c r="B122" s="3"/>
      <c r="C122" s="17"/>
      <c r="D122" s="17"/>
      <c r="E122" s="17"/>
      <c r="F122" s="4"/>
      <c r="G122" s="16"/>
      <c r="H122" s="17"/>
      <c r="I122" s="17"/>
      <c r="J122" s="17"/>
      <c r="K122" s="17"/>
    </row>
    <row r="123" spans="1:11" ht="22.5" x14ac:dyDescent="0.45">
      <c r="A123" s="3"/>
      <c r="B123" s="3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 ht="22.5" x14ac:dyDescent="0.45">
      <c r="A124" s="3"/>
      <c r="B124" s="3"/>
      <c r="C124" s="17"/>
      <c r="D124" s="17"/>
      <c r="E124" s="17"/>
      <c r="F124" s="17"/>
      <c r="G124" s="17"/>
      <c r="H124" s="17"/>
      <c r="I124" s="17"/>
      <c r="J124" s="17"/>
      <c r="K124" s="17"/>
    </row>
    <row r="125" spans="1:11" ht="22.5" x14ac:dyDescent="0.45">
      <c r="A125" s="3"/>
      <c r="B125" s="3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11" ht="22.5" x14ac:dyDescent="0.45">
      <c r="A126" s="3"/>
      <c r="B126" s="3"/>
      <c r="C126" s="17"/>
      <c r="D126" s="17"/>
      <c r="E126" s="17"/>
      <c r="F126" s="17"/>
      <c r="G126" s="17"/>
      <c r="H126" s="17"/>
      <c r="I126" s="17"/>
      <c r="J126" s="17"/>
      <c r="K126" s="17"/>
    </row>
    <row r="127" spans="1:11" ht="22.5" x14ac:dyDescent="0.45">
      <c r="A127" s="3"/>
      <c r="B127" s="3"/>
      <c r="C127" s="17"/>
      <c r="D127" s="17"/>
      <c r="E127" s="17"/>
      <c r="F127" s="17"/>
      <c r="G127" s="17"/>
      <c r="H127" s="17"/>
      <c r="I127" s="17"/>
      <c r="J127" s="17"/>
      <c r="K127" s="17"/>
    </row>
    <row r="128" spans="1:11" ht="22.5" x14ac:dyDescent="0.45">
      <c r="A128" s="3"/>
      <c r="B128" s="3"/>
      <c r="C128" s="17"/>
      <c r="D128" s="17"/>
      <c r="E128" s="17"/>
      <c r="F128" s="17"/>
      <c r="G128" s="17"/>
      <c r="H128" s="17"/>
      <c r="I128" s="17"/>
      <c r="J128" s="17"/>
      <c r="K128" s="17"/>
    </row>
    <row r="129" spans="1:11" ht="22.5" x14ac:dyDescent="0.45">
      <c r="A129" s="3"/>
      <c r="B129" s="3"/>
      <c r="C129" s="17"/>
      <c r="D129" s="17"/>
      <c r="E129" s="17"/>
      <c r="F129" s="17"/>
      <c r="G129" s="17"/>
      <c r="H129" s="17"/>
      <c r="I129" s="17"/>
      <c r="J129" s="17"/>
      <c r="K129" s="17"/>
    </row>
    <row r="130" spans="1:11" ht="22.5" x14ac:dyDescent="0.45">
      <c r="A130" s="3"/>
      <c r="B130" s="3"/>
      <c r="C130" s="17"/>
      <c r="D130" s="17"/>
      <c r="E130" s="17"/>
      <c r="F130" s="17"/>
      <c r="G130" s="17"/>
      <c r="H130" s="17"/>
      <c r="I130" s="17"/>
      <c r="J130" s="17"/>
      <c r="K130" s="17"/>
    </row>
    <row r="131" spans="1:11" ht="22.5" x14ac:dyDescent="0.45">
      <c r="A131" s="3"/>
      <c r="B131" s="3"/>
      <c r="C131" s="17"/>
      <c r="D131" s="17"/>
      <c r="E131" s="17"/>
      <c r="F131" s="17"/>
      <c r="G131" s="17"/>
      <c r="H131" s="17"/>
      <c r="I131" s="17"/>
      <c r="J131" s="17"/>
      <c r="K131" s="17"/>
    </row>
    <row r="132" spans="1:11" ht="22.5" x14ac:dyDescent="0.45">
      <c r="A132" s="3"/>
      <c r="B132" s="3">
        <f>SUM(B117:B131)</f>
        <v>0</v>
      </c>
      <c r="C132" s="17">
        <f>SUM(C117:C131)</f>
        <v>0</v>
      </c>
      <c r="D132" s="17"/>
      <c r="E132" s="17"/>
      <c r="F132" s="17"/>
      <c r="G132" s="17"/>
      <c r="H132" s="17"/>
      <c r="I132" s="17">
        <f>SUM(I117:I131)</f>
        <v>5</v>
      </c>
      <c r="J132" s="17"/>
      <c r="K132" s="17"/>
    </row>
    <row r="133" spans="1:11" ht="22.5" x14ac:dyDescent="0.45">
      <c r="C133" s="18"/>
      <c r="D133" s="18"/>
      <c r="E133" s="17">
        <f>I132-C132</f>
        <v>5</v>
      </c>
      <c r="F133" s="29" t="s">
        <v>13</v>
      </c>
      <c r="G133" s="30"/>
      <c r="H133" s="18"/>
      <c r="I133" s="18"/>
      <c r="J133" s="18"/>
      <c r="K133" s="18"/>
    </row>
  </sheetData>
  <mergeCells count="24">
    <mergeCell ref="A24:K24"/>
    <mergeCell ref="A25:G25"/>
    <mergeCell ref="H25:K25"/>
    <mergeCell ref="F43:G43"/>
    <mergeCell ref="A1:K1"/>
    <mergeCell ref="A2:G2"/>
    <mergeCell ref="H2:K2"/>
    <mergeCell ref="F20:G20"/>
    <mergeCell ref="A93:G93"/>
    <mergeCell ref="H93:K93"/>
    <mergeCell ref="A47:K47"/>
    <mergeCell ref="A48:G48"/>
    <mergeCell ref="H48:K48"/>
    <mergeCell ref="F66:G66"/>
    <mergeCell ref="A70:K70"/>
    <mergeCell ref="A71:G71"/>
    <mergeCell ref="H71:K71"/>
    <mergeCell ref="F89:G89"/>
    <mergeCell ref="A92:K92"/>
    <mergeCell ref="F111:G111"/>
    <mergeCell ref="A114:K114"/>
    <mergeCell ref="A115:G115"/>
    <mergeCell ref="H115:K115"/>
    <mergeCell ref="F133:G133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opLeftCell="A34" zoomScaleNormal="100" workbookViewId="0">
      <selection activeCell="F14" sqref="F14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7" t="s">
        <v>3</v>
      </c>
      <c r="D3" s="7" t="s">
        <v>10</v>
      </c>
      <c r="E3" s="7" t="s">
        <v>5</v>
      </c>
      <c r="F3" s="7" t="s">
        <v>4</v>
      </c>
      <c r="G3" s="7" t="s">
        <v>1</v>
      </c>
      <c r="H3" s="7" t="s">
        <v>26</v>
      </c>
      <c r="I3" s="7" t="s">
        <v>3</v>
      </c>
      <c r="J3" s="7" t="s">
        <v>2</v>
      </c>
      <c r="K3" s="7" t="s">
        <v>1</v>
      </c>
    </row>
    <row r="4" spans="1:11" s="5" customFormat="1" ht="22.5" x14ac:dyDescent="0.45">
      <c r="A4" s="3" t="s">
        <v>19</v>
      </c>
      <c r="B4" s="3">
        <v>300</v>
      </c>
      <c r="C4" s="7">
        <v>1</v>
      </c>
      <c r="D4" s="7"/>
      <c r="E4" s="7" t="s">
        <v>18</v>
      </c>
      <c r="F4" s="4">
        <v>46167</v>
      </c>
      <c r="G4" s="22" t="s">
        <v>9</v>
      </c>
      <c r="H4" s="7">
        <v>818</v>
      </c>
      <c r="I4" s="7">
        <v>10</v>
      </c>
      <c r="J4" s="4">
        <v>46153</v>
      </c>
      <c r="K4" s="7" t="s">
        <v>9</v>
      </c>
    </row>
    <row r="5" spans="1:11" ht="22.5" x14ac:dyDescent="0.45">
      <c r="A5" s="3" t="s">
        <v>25</v>
      </c>
      <c r="B5" s="3">
        <v>290</v>
      </c>
      <c r="C5" s="7">
        <v>1</v>
      </c>
      <c r="D5" s="7" t="s">
        <v>21</v>
      </c>
      <c r="E5" s="7" t="s">
        <v>20</v>
      </c>
      <c r="F5" s="4">
        <v>46186</v>
      </c>
      <c r="G5" s="13" t="s">
        <v>17</v>
      </c>
      <c r="H5" s="7">
        <v>859</v>
      </c>
      <c r="I5" s="7">
        <v>10</v>
      </c>
      <c r="J5" s="4">
        <v>46158</v>
      </c>
      <c r="K5" s="7" t="s">
        <v>17</v>
      </c>
    </row>
    <row r="6" spans="1:11" ht="22.5" x14ac:dyDescent="0.45">
      <c r="A6" s="3"/>
      <c r="B6" s="3">
        <v>290</v>
      </c>
      <c r="C6" s="7">
        <v>1</v>
      </c>
      <c r="D6" s="7"/>
      <c r="E6" s="7" t="s">
        <v>22</v>
      </c>
      <c r="F6" s="4">
        <v>46193</v>
      </c>
      <c r="G6" s="13" t="s">
        <v>17</v>
      </c>
      <c r="H6" s="7"/>
      <c r="I6" s="7"/>
      <c r="J6" s="7"/>
      <c r="K6" s="7"/>
    </row>
    <row r="7" spans="1:11" ht="22.5" x14ac:dyDescent="0.45">
      <c r="A7" s="3"/>
      <c r="B7" s="3">
        <v>300</v>
      </c>
      <c r="C7" s="10">
        <v>1</v>
      </c>
      <c r="D7" s="10" t="s">
        <v>99</v>
      </c>
      <c r="E7" s="10" t="s">
        <v>76</v>
      </c>
      <c r="F7" s="4">
        <v>46195</v>
      </c>
      <c r="G7" s="13" t="s">
        <v>9</v>
      </c>
      <c r="H7" s="10"/>
      <c r="I7" s="10"/>
      <c r="J7" s="10"/>
      <c r="K7" s="10"/>
    </row>
    <row r="8" spans="1:11" ht="22.5" x14ac:dyDescent="0.45">
      <c r="A8" s="3" t="s">
        <v>19</v>
      </c>
      <c r="B8" s="3">
        <v>280</v>
      </c>
      <c r="C8" s="7">
        <v>2</v>
      </c>
      <c r="D8" s="7" t="s">
        <v>24</v>
      </c>
      <c r="E8" s="7" t="s">
        <v>23</v>
      </c>
      <c r="F8" s="4">
        <v>46196</v>
      </c>
      <c r="G8" s="13" t="s">
        <v>16</v>
      </c>
      <c r="H8" s="7"/>
      <c r="I8" s="7"/>
      <c r="J8" s="7"/>
      <c r="K8" s="7"/>
    </row>
    <row r="9" spans="1:11" ht="22.5" x14ac:dyDescent="0.45">
      <c r="A9" s="3"/>
      <c r="B9" s="3">
        <v>300</v>
      </c>
      <c r="C9" s="7">
        <v>1</v>
      </c>
      <c r="D9" s="7" t="s">
        <v>109</v>
      </c>
      <c r="E9" s="7" t="s">
        <v>108</v>
      </c>
      <c r="F9" s="4">
        <v>46201</v>
      </c>
      <c r="G9" s="13" t="s">
        <v>41</v>
      </c>
      <c r="H9" s="7"/>
      <c r="I9" s="7"/>
      <c r="J9" s="7"/>
      <c r="K9" s="7"/>
    </row>
    <row r="10" spans="1:11" ht="22.5" x14ac:dyDescent="0.45">
      <c r="A10" s="3"/>
      <c r="B10" s="3"/>
      <c r="C10" s="7">
        <v>1</v>
      </c>
      <c r="D10" s="7"/>
      <c r="E10" s="7"/>
      <c r="F10" s="14">
        <v>46210</v>
      </c>
      <c r="G10" s="7"/>
      <c r="H10" s="7"/>
      <c r="I10" s="7"/>
      <c r="J10" s="7"/>
      <c r="K10" s="7"/>
    </row>
    <row r="11" spans="1:11" ht="22.5" x14ac:dyDescent="0.45">
      <c r="A11" s="3"/>
      <c r="B11" s="3">
        <v>300</v>
      </c>
      <c r="C11" s="7">
        <v>1</v>
      </c>
      <c r="D11" s="7"/>
      <c r="E11" s="7"/>
      <c r="F11" s="15">
        <v>46216</v>
      </c>
      <c r="G11" s="7"/>
      <c r="H11" s="7"/>
      <c r="I11" s="7"/>
      <c r="J11" s="7"/>
      <c r="K11" s="7"/>
    </row>
    <row r="12" spans="1:11" ht="22.5" x14ac:dyDescent="0.45">
      <c r="A12" s="3"/>
      <c r="B12" s="3">
        <f>290*3</f>
        <v>870</v>
      </c>
      <c r="C12" s="7">
        <v>3</v>
      </c>
      <c r="D12" s="7"/>
      <c r="E12" s="7" t="s">
        <v>149</v>
      </c>
      <c r="F12" s="15">
        <v>46231</v>
      </c>
      <c r="G12" s="7"/>
      <c r="H12" s="7"/>
      <c r="I12" s="7"/>
      <c r="J12" s="7"/>
      <c r="K12" s="7"/>
    </row>
    <row r="13" spans="1:11" ht="22.5" x14ac:dyDescent="0.45">
      <c r="A13" s="3"/>
      <c r="B13" s="3"/>
      <c r="C13" s="7"/>
      <c r="D13" s="7"/>
      <c r="E13" s="7"/>
      <c r="F13" s="7"/>
      <c r="G13" s="7"/>
      <c r="H13" s="7"/>
      <c r="I13" s="7"/>
      <c r="J13" s="7"/>
      <c r="K13" s="7"/>
    </row>
    <row r="14" spans="1:11" ht="22.5" x14ac:dyDescent="0.45">
      <c r="A14" s="3"/>
      <c r="B14" s="3"/>
      <c r="C14" s="7"/>
      <c r="D14" s="7"/>
      <c r="E14" s="7"/>
      <c r="F14" s="7"/>
      <c r="G14" s="7"/>
      <c r="H14" s="7"/>
      <c r="I14" s="7"/>
      <c r="J14" s="7"/>
      <c r="K14" s="7"/>
    </row>
    <row r="15" spans="1:11" ht="22.5" x14ac:dyDescent="0.45">
      <c r="A15" s="3"/>
      <c r="B15" s="3"/>
      <c r="C15" s="7"/>
      <c r="D15" s="7"/>
      <c r="E15" s="7"/>
      <c r="F15" s="7"/>
      <c r="G15" s="7"/>
      <c r="H15" s="7"/>
      <c r="I15" s="7"/>
      <c r="J15" s="7"/>
      <c r="K15" s="7"/>
    </row>
    <row r="16" spans="1:11" ht="22.5" x14ac:dyDescent="0.45">
      <c r="A16" s="3"/>
      <c r="B16" s="3"/>
      <c r="C16" s="7"/>
      <c r="D16" s="7"/>
      <c r="E16" s="7"/>
      <c r="F16" s="7"/>
      <c r="G16" s="7"/>
      <c r="H16" s="7"/>
      <c r="I16" s="7"/>
      <c r="J16" s="7"/>
      <c r="K16" s="7"/>
    </row>
    <row r="17" spans="1:11" ht="22.5" x14ac:dyDescent="0.45">
      <c r="A17" s="3"/>
      <c r="B17" s="3"/>
      <c r="C17" s="7"/>
      <c r="D17" s="7"/>
      <c r="E17" s="7"/>
      <c r="F17" s="7"/>
      <c r="G17" s="7"/>
      <c r="H17" s="7"/>
      <c r="I17" s="7"/>
      <c r="J17" s="7"/>
      <c r="K17" s="7"/>
    </row>
    <row r="18" spans="1:11" ht="22.5" x14ac:dyDescent="0.45">
      <c r="A18" s="3"/>
      <c r="B18" s="3"/>
      <c r="C18" s="7"/>
      <c r="D18" s="7"/>
      <c r="E18" s="7"/>
      <c r="F18" s="7"/>
      <c r="G18" s="7"/>
      <c r="H18" s="7"/>
      <c r="I18" s="7"/>
      <c r="J18" s="7"/>
      <c r="K18" s="7"/>
    </row>
    <row r="19" spans="1:11" ht="22.5" x14ac:dyDescent="0.45">
      <c r="A19" s="3"/>
      <c r="B19" s="3">
        <f>SUM(B4:B18)</f>
        <v>2930</v>
      </c>
      <c r="C19" s="7">
        <f>SUM(C4:C18)</f>
        <v>12</v>
      </c>
      <c r="D19" s="7"/>
      <c r="E19" s="7"/>
      <c r="F19" s="7"/>
      <c r="G19" s="7"/>
      <c r="H19" s="7"/>
      <c r="I19" s="7">
        <f>SUM(I4:I18)</f>
        <v>20</v>
      </c>
      <c r="J19" s="7"/>
      <c r="K19" s="7"/>
    </row>
    <row r="20" spans="1:11" ht="22.5" x14ac:dyDescent="0.45">
      <c r="C20" s="9"/>
      <c r="D20" s="9"/>
      <c r="E20" s="7">
        <f>I19-C19</f>
        <v>8</v>
      </c>
      <c r="F20" s="29" t="s">
        <v>13</v>
      </c>
      <c r="G20" s="30"/>
      <c r="H20" s="9"/>
      <c r="I20" s="9"/>
      <c r="J20" s="9"/>
      <c r="K20" s="9"/>
    </row>
    <row r="21" spans="1:11" ht="22.5" x14ac:dyDescent="0.45">
      <c r="C21" s="6"/>
      <c r="D21" s="6"/>
      <c r="E21" s="6"/>
      <c r="F21" s="6"/>
      <c r="G21" s="6"/>
      <c r="H21" s="6"/>
      <c r="I21" s="6"/>
      <c r="J21" s="6"/>
      <c r="K21" s="6"/>
    </row>
    <row r="22" spans="1:11" ht="22.5" x14ac:dyDescent="0.45">
      <c r="C22" s="6"/>
      <c r="D22" s="6"/>
      <c r="E22" s="6"/>
      <c r="F22" s="6"/>
      <c r="G22" s="6"/>
      <c r="H22" s="6"/>
      <c r="I22" s="6"/>
      <c r="J22" s="6"/>
      <c r="K22" s="6"/>
    </row>
    <row r="23" spans="1:11" ht="22.5" x14ac:dyDescent="0.45">
      <c r="C23" s="9"/>
      <c r="D23" s="9"/>
      <c r="E23" s="9"/>
      <c r="F23" s="9"/>
      <c r="G23" s="9"/>
      <c r="H23" s="9"/>
      <c r="I23" s="9"/>
      <c r="J23" s="9"/>
      <c r="K23" s="9"/>
    </row>
    <row r="24" spans="1:11" ht="18.75" customHeight="1" x14ac:dyDescent="0.45">
      <c r="A24" s="33" t="s">
        <v>11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11" ht="18.75" customHeight="1" x14ac:dyDescent="0.45">
      <c r="A25" s="32" t="s">
        <v>0</v>
      </c>
      <c r="B25" s="32"/>
      <c r="C25" s="32"/>
      <c r="D25" s="32"/>
      <c r="E25" s="32"/>
      <c r="F25" s="32"/>
      <c r="G25" s="32"/>
      <c r="H25" s="31" t="s">
        <v>6</v>
      </c>
      <c r="I25" s="31"/>
      <c r="J25" s="31"/>
      <c r="K25" s="30"/>
    </row>
    <row r="26" spans="1:11" s="2" customFormat="1" ht="22.5" x14ac:dyDescent="0.45">
      <c r="A26" s="3" t="s">
        <v>8</v>
      </c>
      <c r="B26" s="3" t="s">
        <v>14</v>
      </c>
      <c r="C26" s="7" t="s">
        <v>3</v>
      </c>
      <c r="D26" s="7" t="s">
        <v>10</v>
      </c>
      <c r="E26" s="7" t="s">
        <v>5</v>
      </c>
      <c r="F26" s="7" t="s">
        <v>4</v>
      </c>
      <c r="G26" s="7" t="s">
        <v>1</v>
      </c>
      <c r="H26" s="7" t="s">
        <v>26</v>
      </c>
      <c r="I26" s="7" t="s">
        <v>3</v>
      </c>
      <c r="J26" s="7" t="s">
        <v>2</v>
      </c>
      <c r="K26" s="7" t="s">
        <v>1</v>
      </c>
    </row>
    <row r="27" spans="1:11" s="1" customFormat="1" ht="22.5" x14ac:dyDescent="0.45">
      <c r="A27" s="3"/>
      <c r="B27" s="3">
        <v>400</v>
      </c>
      <c r="C27" s="7">
        <v>1</v>
      </c>
      <c r="D27" s="7" t="s">
        <v>27</v>
      </c>
      <c r="E27" s="7"/>
      <c r="F27" s="4">
        <v>46168</v>
      </c>
      <c r="G27" s="22" t="s">
        <v>16</v>
      </c>
      <c r="H27" s="7">
        <v>818</v>
      </c>
      <c r="I27" s="7">
        <v>10</v>
      </c>
      <c r="J27" s="4">
        <v>46153</v>
      </c>
      <c r="K27" s="7" t="s">
        <v>9</v>
      </c>
    </row>
    <row r="28" spans="1:11" ht="22.5" x14ac:dyDescent="0.45">
      <c r="A28" s="3"/>
      <c r="B28" s="3">
        <v>400</v>
      </c>
      <c r="C28" s="7">
        <v>1</v>
      </c>
      <c r="D28" s="7" t="s">
        <v>28</v>
      </c>
      <c r="E28" s="7"/>
      <c r="F28" s="4">
        <v>46172</v>
      </c>
      <c r="G28" s="21" t="s">
        <v>17</v>
      </c>
      <c r="H28" s="7">
        <v>859</v>
      </c>
      <c r="I28" s="7">
        <v>10</v>
      </c>
      <c r="J28" s="4">
        <v>46158</v>
      </c>
      <c r="K28" s="7" t="s">
        <v>17</v>
      </c>
    </row>
    <row r="29" spans="1:11" ht="22.5" x14ac:dyDescent="0.45">
      <c r="A29" s="3" t="s">
        <v>30</v>
      </c>
      <c r="B29" s="3"/>
      <c r="C29" s="7">
        <v>5</v>
      </c>
      <c r="D29" s="7" t="s">
        <v>29</v>
      </c>
      <c r="E29" s="7"/>
      <c r="F29" s="4">
        <v>46172</v>
      </c>
      <c r="G29" s="21" t="s">
        <v>17</v>
      </c>
      <c r="H29" s="7"/>
      <c r="I29" s="7"/>
      <c r="J29" s="7"/>
      <c r="K29" s="7"/>
    </row>
    <row r="30" spans="1:11" ht="22.5" x14ac:dyDescent="0.45">
      <c r="A30" s="3"/>
      <c r="B30" s="3">
        <v>400</v>
      </c>
      <c r="C30" s="7">
        <v>1</v>
      </c>
      <c r="D30" s="7" t="s">
        <v>31</v>
      </c>
      <c r="E30" s="7"/>
      <c r="F30" s="4">
        <v>46174</v>
      </c>
      <c r="G30" s="21" t="s">
        <v>9</v>
      </c>
      <c r="H30" s="7"/>
      <c r="I30" s="7"/>
      <c r="J30" s="7"/>
      <c r="K30" s="7"/>
    </row>
    <row r="31" spans="1:11" ht="22.5" x14ac:dyDescent="0.45">
      <c r="A31" s="3"/>
      <c r="B31" s="3">
        <v>380</v>
      </c>
      <c r="C31" s="7">
        <v>1</v>
      </c>
      <c r="D31" s="7" t="s">
        <v>31</v>
      </c>
      <c r="E31" s="7" t="s">
        <v>132</v>
      </c>
      <c r="F31" s="4">
        <v>46182</v>
      </c>
      <c r="G31" s="21" t="s">
        <v>16</v>
      </c>
      <c r="H31" s="7"/>
      <c r="I31" s="7"/>
      <c r="J31" s="7"/>
      <c r="K31" s="7"/>
    </row>
    <row r="32" spans="1:11" ht="22.5" x14ac:dyDescent="0.45">
      <c r="A32" s="3"/>
      <c r="B32" s="3">
        <v>380</v>
      </c>
      <c r="C32" s="7">
        <v>1</v>
      </c>
      <c r="D32" s="7" t="s">
        <v>34</v>
      </c>
      <c r="E32" s="7"/>
      <c r="F32" s="4">
        <v>46184</v>
      </c>
      <c r="G32" s="16"/>
      <c r="H32" s="7"/>
      <c r="I32" s="7"/>
      <c r="J32" s="7"/>
      <c r="K32" s="7"/>
    </row>
    <row r="33" spans="1:11" ht="22.5" x14ac:dyDescent="0.45">
      <c r="A33" s="3"/>
      <c r="B33" s="3">
        <v>390</v>
      </c>
      <c r="C33" s="7">
        <v>2</v>
      </c>
      <c r="D33" s="7" t="s">
        <v>35</v>
      </c>
      <c r="E33" s="7"/>
      <c r="F33" s="4">
        <v>46184</v>
      </c>
      <c r="G33" s="16"/>
      <c r="H33" s="7"/>
      <c r="I33" s="7"/>
      <c r="J33" s="7"/>
      <c r="K33" s="7"/>
    </row>
    <row r="34" spans="1:11" ht="22.5" x14ac:dyDescent="0.45">
      <c r="A34" s="3"/>
      <c r="B34" s="3">
        <v>380</v>
      </c>
      <c r="C34" s="7">
        <v>1</v>
      </c>
      <c r="D34" s="7" t="s">
        <v>33</v>
      </c>
      <c r="E34" s="7" t="s">
        <v>32</v>
      </c>
      <c r="F34" s="14">
        <v>46197</v>
      </c>
      <c r="G34" s="7"/>
      <c r="H34" s="7"/>
      <c r="I34" s="7"/>
      <c r="J34" s="7"/>
      <c r="K34" s="7"/>
    </row>
    <row r="35" spans="1:11" ht="22.5" x14ac:dyDescent="0.45">
      <c r="A35" s="3" t="s">
        <v>125</v>
      </c>
      <c r="B35" s="3">
        <v>380</v>
      </c>
      <c r="C35" s="7">
        <v>1</v>
      </c>
      <c r="D35" s="7"/>
      <c r="E35" s="7"/>
      <c r="F35" s="7"/>
      <c r="G35" s="7"/>
      <c r="H35" s="7"/>
      <c r="I35" s="7"/>
      <c r="J35" s="7"/>
      <c r="K35" s="7"/>
    </row>
    <row r="36" spans="1:11" ht="22.5" x14ac:dyDescent="0.45">
      <c r="A36" s="3"/>
      <c r="B36" s="3"/>
      <c r="C36" s="7">
        <v>1</v>
      </c>
      <c r="D36" s="7"/>
      <c r="E36" s="7"/>
      <c r="F36" s="14">
        <v>46210</v>
      </c>
      <c r="G36" s="7"/>
      <c r="H36" s="7"/>
      <c r="I36" s="7"/>
      <c r="J36" s="7"/>
      <c r="K36" s="7"/>
    </row>
    <row r="37" spans="1:11" ht="22.5" x14ac:dyDescent="0.45">
      <c r="A37" s="3"/>
      <c r="B37" s="3">
        <f>400*2</f>
        <v>800</v>
      </c>
      <c r="C37" s="7">
        <v>2</v>
      </c>
      <c r="D37" s="7"/>
      <c r="E37" s="7"/>
      <c r="F37" s="15">
        <v>46216</v>
      </c>
      <c r="G37" s="7"/>
      <c r="H37" s="7"/>
      <c r="I37" s="7"/>
      <c r="J37" s="7"/>
      <c r="K37" s="7"/>
    </row>
    <row r="38" spans="1:11" ht="22.5" x14ac:dyDescent="0.45">
      <c r="A38" s="3"/>
      <c r="B38" s="3"/>
      <c r="C38" s="7"/>
      <c r="D38" s="7"/>
      <c r="E38" s="7"/>
      <c r="F38" s="7"/>
      <c r="G38" s="7"/>
      <c r="H38" s="7"/>
      <c r="I38" s="7"/>
      <c r="J38" s="7"/>
      <c r="K38" s="7"/>
    </row>
    <row r="39" spans="1:11" ht="22.5" x14ac:dyDescent="0.45">
      <c r="A39" s="3"/>
      <c r="B39" s="3"/>
      <c r="C39" s="7"/>
      <c r="D39" s="7"/>
      <c r="E39" s="7"/>
      <c r="F39" s="7"/>
      <c r="G39" s="7"/>
      <c r="H39" s="7"/>
      <c r="I39" s="7"/>
      <c r="J39" s="7"/>
      <c r="K39" s="7"/>
    </row>
    <row r="40" spans="1:11" ht="22.5" x14ac:dyDescent="0.45">
      <c r="A40" s="3"/>
      <c r="B40" s="3"/>
      <c r="C40" s="7"/>
      <c r="D40" s="7"/>
      <c r="E40" s="7"/>
      <c r="F40" s="7"/>
      <c r="G40" s="7"/>
      <c r="H40" s="7"/>
      <c r="I40" s="7"/>
      <c r="J40" s="7"/>
      <c r="K40" s="7"/>
    </row>
    <row r="41" spans="1:11" ht="22.5" x14ac:dyDescent="0.45">
      <c r="A41" s="3"/>
      <c r="B41" s="3"/>
      <c r="C41" s="7"/>
      <c r="D41" s="7"/>
      <c r="E41" s="7"/>
      <c r="F41" s="7"/>
      <c r="G41" s="7"/>
      <c r="H41" s="7"/>
      <c r="I41" s="7"/>
      <c r="J41" s="7"/>
      <c r="K41" s="7"/>
    </row>
    <row r="42" spans="1:11" ht="22.5" x14ac:dyDescent="0.45">
      <c r="A42" s="3"/>
      <c r="B42" s="3"/>
      <c r="C42" s="7"/>
      <c r="D42" s="7"/>
      <c r="E42" s="7"/>
      <c r="F42" s="7"/>
      <c r="G42" s="7"/>
      <c r="H42" s="7"/>
      <c r="I42" s="7"/>
      <c r="J42" s="7"/>
      <c r="K42" s="7"/>
    </row>
    <row r="43" spans="1:11" ht="22.5" x14ac:dyDescent="0.45">
      <c r="A43" s="3"/>
      <c r="B43" s="3"/>
      <c r="C43" s="7"/>
      <c r="D43" s="7"/>
      <c r="E43" s="7"/>
      <c r="F43" s="7"/>
      <c r="G43" s="7"/>
      <c r="H43" s="7"/>
      <c r="I43" s="7"/>
      <c r="J43" s="7"/>
      <c r="K43" s="7"/>
    </row>
    <row r="44" spans="1:11" ht="22.5" x14ac:dyDescent="0.45">
      <c r="A44" s="3"/>
      <c r="B44" s="3">
        <f>SUM(B27:B43)</f>
        <v>3910</v>
      </c>
      <c r="C44" s="7">
        <f>SUM(C27:C43)</f>
        <v>17</v>
      </c>
      <c r="D44" s="7"/>
      <c r="E44" s="7"/>
      <c r="F44" s="7"/>
      <c r="G44" s="7"/>
      <c r="H44" s="7"/>
      <c r="I44" s="7">
        <f>SUM(I27:I43)</f>
        <v>20</v>
      </c>
      <c r="J44" s="7"/>
      <c r="K44" s="7"/>
    </row>
    <row r="45" spans="1:11" ht="22.5" x14ac:dyDescent="0.45">
      <c r="C45" s="9"/>
      <c r="D45" s="9"/>
      <c r="E45" s="7">
        <f>I44-C44</f>
        <v>3</v>
      </c>
      <c r="F45" s="29" t="s">
        <v>13</v>
      </c>
      <c r="G45" s="30"/>
      <c r="H45" s="9"/>
      <c r="I45" s="9"/>
      <c r="J45" s="9"/>
      <c r="K45" s="9"/>
    </row>
    <row r="46" spans="1:11" ht="22.5" x14ac:dyDescent="0.45">
      <c r="C46" s="9"/>
      <c r="D46" s="9"/>
      <c r="E46" s="8"/>
      <c r="F46" s="8"/>
      <c r="G46" s="8"/>
      <c r="H46" s="9"/>
      <c r="I46" s="9"/>
      <c r="J46" s="9"/>
      <c r="K46" s="9"/>
    </row>
    <row r="47" spans="1:11" ht="22.5" x14ac:dyDescent="0.45">
      <c r="A47" s="29" t="s">
        <v>12</v>
      </c>
      <c r="B47" s="31"/>
      <c r="C47" s="31"/>
      <c r="D47" s="31"/>
      <c r="E47" s="31"/>
      <c r="F47" s="31"/>
      <c r="G47" s="31"/>
      <c r="H47" s="31"/>
      <c r="I47" s="31"/>
      <c r="J47" s="31"/>
      <c r="K47" s="30"/>
    </row>
    <row r="48" spans="1:11" s="2" customFormat="1" ht="22.5" x14ac:dyDescent="0.45">
      <c r="A48" s="32" t="s">
        <v>0</v>
      </c>
      <c r="B48" s="32"/>
      <c r="C48" s="32"/>
      <c r="D48" s="32"/>
      <c r="E48" s="32"/>
      <c r="F48" s="32"/>
      <c r="G48" s="32"/>
      <c r="H48" s="31" t="s">
        <v>6</v>
      </c>
      <c r="I48" s="31"/>
      <c r="J48" s="31"/>
      <c r="K48" s="30"/>
    </row>
    <row r="49" spans="1:11" s="1" customFormat="1" ht="22.5" x14ac:dyDescent="0.45">
      <c r="A49" s="3" t="s">
        <v>8</v>
      </c>
      <c r="B49" s="3" t="s">
        <v>14</v>
      </c>
      <c r="C49" s="7" t="s">
        <v>3</v>
      </c>
      <c r="D49" s="7" t="s">
        <v>10</v>
      </c>
      <c r="E49" s="7" t="s">
        <v>5</v>
      </c>
      <c r="F49" s="7" t="s">
        <v>4</v>
      </c>
      <c r="G49" s="7" t="s">
        <v>1</v>
      </c>
      <c r="H49" s="7" t="s">
        <v>26</v>
      </c>
      <c r="I49" s="7" t="s">
        <v>3</v>
      </c>
      <c r="J49" s="7" t="s">
        <v>2</v>
      </c>
      <c r="K49" s="7" t="s">
        <v>1</v>
      </c>
    </row>
    <row r="50" spans="1:11" ht="22.5" x14ac:dyDescent="0.45">
      <c r="A50" s="3" t="s">
        <v>52</v>
      </c>
      <c r="B50" s="3">
        <v>450</v>
      </c>
      <c r="C50" s="7">
        <v>1</v>
      </c>
      <c r="D50" s="7"/>
      <c r="E50" s="7"/>
      <c r="F50" s="4">
        <v>46159</v>
      </c>
      <c r="G50" s="21" t="s">
        <v>41</v>
      </c>
      <c r="H50" s="7">
        <v>818</v>
      </c>
      <c r="I50" s="7">
        <v>10</v>
      </c>
      <c r="J50" s="4">
        <v>46153</v>
      </c>
      <c r="K50" s="7" t="s">
        <v>9</v>
      </c>
    </row>
    <row r="51" spans="1:11" ht="22.5" x14ac:dyDescent="0.45">
      <c r="A51" s="3" t="s">
        <v>38</v>
      </c>
      <c r="B51" s="3">
        <v>1000</v>
      </c>
      <c r="C51" s="7">
        <v>2</v>
      </c>
      <c r="D51" s="7"/>
      <c r="E51" s="7" t="s">
        <v>37</v>
      </c>
      <c r="F51" s="4">
        <v>46161</v>
      </c>
      <c r="G51" s="22" t="s">
        <v>36</v>
      </c>
      <c r="H51" s="7">
        <v>859</v>
      </c>
      <c r="I51" s="7">
        <v>10</v>
      </c>
      <c r="J51" s="4">
        <v>46158</v>
      </c>
      <c r="K51" s="7" t="s">
        <v>17</v>
      </c>
    </row>
    <row r="52" spans="1:11" ht="22.5" x14ac:dyDescent="0.45">
      <c r="A52" s="3"/>
      <c r="B52" s="3">
        <v>500</v>
      </c>
      <c r="C52" s="7">
        <v>1</v>
      </c>
      <c r="D52" s="7" t="s">
        <v>40</v>
      </c>
      <c r="E52" s="7" t="s">
        <v>40</v>
      </c>
      <c r="F52" s="4">
        <v>46162</v>
      </c>
      <c r="G52" s="21" t="s">
        <v>39</v>
      </c>
      <c r="H52" s="7"/>
      <c r="I52" s="7"/>
      <c r="J52" s="7"/>
      <c r="K52" s="7"/>
    </row>
    <row r="53" spans="1:11" ht="22.5" x14ac:dyDescent="0.45">
      <c r="A53" s="3"/>
      <c r="B53" s="3">
        <v>500</v>
      </c>
      <c r="C53" s="7">
        <v>1</v>
      </c>
      <c r="D53" s="7" t="s">
        <v>43</v>
      </c>
      <c r="E53" s="7" t="s">
        <v>42</v>
      </c>
      <c r="F53" s="4">
        <v>46166</v>
      </c>
      <c r="G53" s="21" t="s">
        <v>41</v>
      </c>
      <c r="H53" s="7"/>
      <c r="I53" s="7"/>
      <c r="J53" s="7"/>
      <c r="K53" s="7"/>
    </row>
    <row r="54" spans="1:11" ht="22.5" x14ac:dyDescent="0.45">
      <c r="A54" s="3" t="s">
        <v>46</v>
      </c>
      <c r="B54" s="3">
        <v>490</v>
      </c>
      <c r="C54" s="7">
        <v>1</v>
      </c>
      <c r="D54" s="7" t="s">
        <v>45</v>
      </c>
      <c r="E54" s="7" t="s">
        <v>44</v>
      </c>
      <c r="F54" s="4">
        <v>46166</v>
      </c>
      <c r="G54" s="21" t="s">
        <v>41</v>
      </c>
      <c r="H54" s="7"/>
      <c r="I54" s="7"/>
      <c r="J54" s="7"/>
      <c r="K54" s="7"/>
    </row>
    <row r="55" spans="1:11" ht="22.5" x14ac:dyDescent="0.45">
      <c r="A55" s="3"/>
      <c r="B55" s="3"/>
      <c r="C55" s="7">
        <v>6</v>
      </c>
      <c r="D55" s="7" t="s">
        <v>49</v>
      </c>
      <c r="E55" s="7" t="s">
        <v>48</v>
      </c>
      <c r="F55" s="4">
        <v>46167</v>
      </c>
      <c r="G55" s="7" t="s">
        <v>47</v>
      </c>
      <c r="H55" s="7"/>
      <c r="I55" s="7"/>
      <c r="J55" s="7"/>
      <c r="K55" s="7"/>
    </row>
    <row r="56" spans="1:11" ht="22.5" x14ac:dyDescent="0.45">
      <c r="A56" s="3" t="s">
        <v>51</v>
      </c>
      <c r="B56" s="3">
        <v>480</v>
      </c>
      <c r="C56" s="7">
        <v>2</v>
      </c>
      <c r="D56" s="7" t="s">
        <v>50</v>
      </c>
      <c r="E56" s="7" t="s">
        <v>53</v>
      </c>
      <c r="F56" s="4">
        <v>46183</v>
      </c>
      <c r="G56" s="21" t="s">
        <v>39</v>
      </c>
      <c r="H56" s="7"/>
      <c r="I56" s="7"/>
      <c r="J56" s="7"/>
      <c r="K56" s="7"/>
    </row>
    <row r="57" spans="1:11" ht="22.5" x14ac:dyDescent="0.45">
      <c r="A57" s="3"/>
      <c r="B57" s="3">
        <v>500</v>
      </c>
      <c r="C57" s="7">
        <v>1</v>
      </c>
      <c r="D57" s="7" t="s">
        <v>96</v>
      </c>
      <c r="E57" s="7" t="s">
        <v>95</v>
      </c>
      <c r="F57" s="4">
        <v>46198</v>
      </c>
      <c r="G57" s="13" t="s">
        <v>93</v>
      </c>
      <c r="H57" s="7"/>
      <c r="I57" s="7"/>
      <c r="J57" s="7"/>
      <c r="K57" s="7"/>
    </row>
    <row r="58" spans="1:11" ht="22.5" x14ac:dyDescent="0.45">
      <c r="A58" s="3"/>
      <c r="B58" s="3">
        <v>500</v>
      </c>
      <c r="C58" s="7">
        <v>1</v>
      </c>
      <c r="D58" s="7" t="s">
        <v>98</v>
      </c>
      <c r="E58" s="7" t="s">
        <v>97</v>
      </c>
      <c r="F58" s="4">
        <v>46200</v>
      </c>
      <c r="G58" s="13" t="s">
        <v>17</v>
      </c>
      <c r="H58" s="7"/>
      <c r="I58" s="7"/>
      <c r="J58" s="7"/>
      <c r="K58" s="7"/>
    </row>
    <row r="59" spans="1:11" ht="22.5" x14ac:dyDescent="0.45">
      <c r="A59" s="3" t="s">
        <v>133</v>
      </c>
      <c r="B59" s="3"/>
      <c r="C59" s="7"/>
      <c r="D59" s="7"/>
      <c r="E59" s="7"/>
      <c r="F59" s="7"/>
      <c r="G59" s="7"/>
      <c r="H59" s="7"/>
      <c r="I59" s="7"/>
      <c r="J59" s="7"/>
      <c r="K59" s="7"/>
    </row>
    <row r="60" spans="1:11" ht="22.5" x14ac:dyDescent="0.45">
      <c r="A60" s="3"/>
      <c r="B60" s="3"/>
      <c r="C60" s="7"/>
      <c r="D60" s="7"/>
      <c r="E60" s="7"/>
      <c r="F60" s="7"/>
      <c r="G60" s="7"/>
      <c r="H60" s="7"/>
      <c r="I60" s="7"/>
      <c r="J60" s="7"/>
      <c r="K60" s="7"/>
    </row>
    <row r="61" spans="1:11" ht="22.5" x14ac:dyDescent="0.45">
      <c r="A61" s="3"/>
      <c r="B61" s="3"/>
      <c r="C61" s="7"/>
      <c r="D61" s="7"/>
      <c r="E61" s="7"/>
      <c r="F61" s="7"/>
      <c r="G61" s="7"/>
      <c r="H61" s="7"/>
      <c r="I61" s="7"/>
      <c r="J61" s="7"/>
      <c r="K61" s="7"/>
    </row>
    <row r="62" spans="1:11" ht="22.5" x14ac:dyDescent="0.45">
      <c r="A62" s="3"/>
      <c r="B62" s="3"/>
      <c r="C62" s="7"/>
      <c r="D62" s="7"/>
      <c r="E62" s="7"/>
      <c r="F62" s="7"/>
      <c r="G62" s="7"/>
      <c r="H62" s="7"/>
      <c r="I62" s="7"/>
      <c r="J62" s="7"/>
      <c r="K62" s="7"/>
    </row>
    <row r="63" spans="1:11" ht="22.5" x14ac:dyDescent="0.45">
      <c r="A63" s="3"/>
      <c r="B63" s="3"/>
      <c r="C63" s="7"/>
      <c r="D63" s="7"/>
      <c r="E63" s="7"/>
      <c r="F63" s="7"/>
      <c r="G63" s="7"/>
      <c r="H63" s="7"/>
      <c r="I63" s="7"/>
      <c r="J63" s="7"/>
      <c r="K63" s="7"/>
    </row>
    <row r="64" spans="1:11" ht="22.5" x14ac:dyDescent="0.45">
      <c r="A64" s="3"/>
      <c r="B64" s="3"/>
      <c r="C64" s="7"/>
      <c r="D64" s="7"/>
      <c r="E64" s="7"/>
      <c r="F64" s="7"/>
      <c r="G64" s="7"/>
      <c r="H64" s="7"/>
      <c r="I64" s="7">
        <f>SUM(I50:I63)</f>
        <v>20</v>
      </c>
      <c r="J64" s="7"/>
      <c r="K64" s="7"/>
    </row>
    <row r="65" spans="1:11" ht="22.5" x14ac:dyDescent="0.45">
      <c r="A65" s="3"/>
      <c r="B65" s="3">
        <f>SUM(B51:B64)</f>
        <v>3970</v>
      </c>
      <c r="C65" s="7">
        <f>SUM(C50:C64)</f>
        <v>16</v>
      </c>
      <c r="D65" s="7"/>
      <c r="E65" s="7"/>
      <c r="F65" s="7"/>
      <c r="G65" s="7"/>
      <c r="H65" s="9"/>
      <c r="I65" s="9"/>
      <c r="J65" s="9"/>
      <c r="K65" s="9"/>
    </row>
    <row r="66" spans="1:11" ht="22.5" x14ac:dyDescent="0.45">
      <c r="C66" s="9"/>
      <c r="D66" s="9"/>
      <c r="E66" s="7">
        <f>I64-C65</f>
        <v>4</v>
      </c>
      <c r="F66" s="29" t="s">
        <v>13</v>
      </c>
      <c r="G66" s="30"/>
    </row>
  </sheetData>
  <mergeCells count="12">
    <mergeCell ref="F66:G66"/>
    <mergeCell ref="F20:G20"/>
    <mergeCell ref="H2:K2"/>
    <mergeCell ref="A1:K1"/>
    <mergeCell ref="A2:G2"/>
    <mergeCell ref="A47:K47"/>
    <mergeCell ref="A48:G48"/>
    <mergeCell ref="H48:K48"/>
    <mergeCell ref="F45:G45"/>
    <mergeCell ref="A24:K24"/>
    <mergeCell ref="A25:G25"/>
    <mergeCell ref="H25:K25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22" zoomScaleNormal="100" workbookViewId="0">
      <selection activeCell="M49" sqref="M49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100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>
        <v>1</v>
      </c>
      <c r="D4" s="10"/>
      <c r="E4" s="10"/>
      <c r="F4" s="4" t="s">
        <v>134</v>
      </c>
      <c r="G4" s="15" t="s">
        <v>39</v>
      </c>
      <c r="H4" s="10">
        <v>610</v>
      </c>
      <c r="I4" s="10">
        <v>2</v>
      </c>
      <c r="J4" s="4">
        <v>46158</v>
      </c>
      <c r="K4" s="10" t="s">
        <v>57</v>
      </c>
    </row>
    <row r="5" spans="1:11" ht="22.5" x14ac:dyDescent="0.45">
      <c r="A5" s="3"/>
      <c r="B5" s="3"/>
      <c r="C5" s="10">
        <v>1</v>
      </c>
      <c r="D5" s="10"/>
      <c r="E5" s="10"/>
      <c r="F5" s="4" t="s">
        <v>135</v>
      </c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2</v>
      </c>
      <c r="D18" s="10"/>
      <c r="E18" s="10"/>
      <c r="F18" s="10"/>
      <c r="G18" s="10"/>
      <c r="H18" s="10"/>
      <c r="I18" s="10">
        <f>SUM(I4:I17)</f>
        <v>2</v>
      </c>
      <c r="J18" s="10"/>
      <c r="K18" s="10"/>
    </row>
    <row r="19" spans="1:11" ht="22.5" x14ac:dyDescent="0.45">
      <c r="C19" s="12"/>
      <c r="D19" s="12"/>
      <c r="E19" s="10">
        <f>I18-C18</f>
        <v>0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101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>
        <v>440</v>
      </c>
      <c r="C26" s="10">
        <v>1</v>
      </c>
      <c r="D26" s="10"/>
      <c r="E26" s="10"/>
      <c r="F26" s="4" t="s">
        <v>136</v>
      </c>
      <c r="G26" s="15"/>
      <c r="H26" s="10">
        <v>610</v>
      </c>
      <c r="I26" s="10">
        <v>2</v>
      </c>
      <c r="J26" s="4">
        <v>46158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440</v>
      </c>
      <c r="C43" s="10">
        <f>SUM(C26:C42)</f>
        <v>1</v>
      </c>
      <c r="D43" s="10"/>
      <c r="E43" s="10"/>
      <c r="F43" s="10"/>
      <c r="G43" s="10"/>
      <c r="H43" s="10"/>
      <c r="I43" s="10">
        <f>SUM(I26:I42)</f>
        <v>2</v>
      </c>
      <c r="J43" s="10"/>
      <c r="K43" s="10"/>
    </row>
    <row r="44" spans="1:11" ht="22.5" x14ac:dyDescent="0.45">
      <c r="C44" s="12"/>
      <c r="D44" s="12"/>
      <c r="E44" s="10">
        <f>I43-C43</f>
        <v>1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102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>
        <v>545</v>
      </c>
      <c r="C49" s="10">
        <v>1</v>
      </c>
      <c r="D49" s="10" t="s">
        <v>104</v>
      </c>
      <c r="E49" s="10" t="s">
        <v>103</v>
      </c>
      <c r="F49" s="4">
        <v>46196</v>
      </c>
      <c r="G49" s="13" t="s">
        <v>16</v>
      </c>
      <c r="H49" s="10">
        <v>610</v>
      </c>
      <c r="I49" s="10">
        <v>2</v>
      </c>
      <c r="J49" s="4">
        <v>46158</v>
      </c>
      <c r="K49" s="10" t="s">
        <v>57</v>
      </c>
    </row>
    <row r="50" spans="1:11" ht="22.5" x14ac:dyDescent="0.45">
      <c r="A50" s="3" t="s">
        <v>121</v>
      </c>
      <c r="B50" s="3">
        <v>550</v>
      </c>
      <c r="C50" s="10">
        <v>1</v>
      </c>
      <c r="D50" s="10" t="s">
        <v>120</v>
      </c>
      <c r="E50" s="10" t="s">
        <v>119</v>
      </c>
      <c r="F50" s="4">
        <v>46203</v>
      </c>
      <c r="G50" s="20" t="s">
        <v>36</v>
      </c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2</v>
      </c>
      <c r="J63" s="10"/>
      <c r="K63" s="10"/>
    </row>
    <row r="64" spans="1:11" ht="22.5" x14ac:dyDescent="0.45">
      <c r="A64" s="3"/>
      <c r="B64" s="3">
        <f>SUM(B50:B63)</f>
        <v>550</v>
      </c>
      <c r="C64" s="10">
        <f>SUM(C49:C63)</f>
        <v>2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0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A2" zoomScaleNormal="100" workbookViewId="0">
      <selection activeCell="H2" sqref="H2:K2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79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3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>
        <v>12</v>
      </c>
      <c r="J5" s="4"/>
      <c r="K5" s="10" t="s">
        <v>141</v>
      </c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15</v>
      </c>
      <c r="J18" s="10"/>
      <c r="K18" s="10"/>
    </row>
    <row r="19" spans="1:11" ht="22.5" x14ac:dyDescent="0.45">
      <c r="C19" s="12"/>
      <c r="D19" s="12"/>
      <c r="E19" s="10">
        <f>I18-C18</f>
        <v>15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78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 t="s">
        <v>82</v>
      </c>
      <c r="B26" s="3">
        <v>500</v>
      </c>
      <c r="C26" s="10">
        <v>1</v>
      </c>
      <c r="D26" s="10" t="s">
        <v>81</v>
      </c>
      <c r="E26" s="10" t="s">
        <v>80</v>
      </c>
      <c r="F26" s="4">
        <v>46188</v>
      </c>
      <c r="G26" s="14" t="s">
        <v>9</v>
      </c>
      <c r="H26" s="10">
        <v>269036809</v>
      </c>
      <c r="I26" s="10">
        <v>3</v>
      </c>
      <c r="J26" s="4">
        <v>46156</v>
      </c>
      <c r="K26" s="10" t="s">
        <v>57</v>
      </c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>
        <v>10</v>
      </c>
      <c r="J27" s="4"/>
      <c r="K27" s="10" t="s">
        <v>141</v>
      </c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500</v>
      </c>
      <c r="C43" s="10">
        <f>SUM(C26:C42)</f>
        <v>1</v>
      </c>
      <c r="D43" s="10"/>
      <c r="E43" s="10"/>
      <c r="F43" s="10"/>
      <c r="G43" s="10"/>
      <c r="H43" s="10"/>
      <c r="I43" s="10">
        <f>SUM(I26:I42)</f>
        <v>13</v>
      </c>
      <c r="J43" s="10"/>
      <c r="K43" s="10"/>
    </row>
    <row r="44" spans="1:11" ht="22.5" x14ac:dyDescent="0.45">
      <c r="C44" s="12"/>
      <c r="D44" s="12"/>
      <c r="E44" s="10">
        <f>I43-C43</f>
        <v>12</v>
      </c>
      <c r="F44" s="29" t="s">
        <v>13</v>
      </c>
      <c r="G44" s="30"/>
      <c r="H44" s="12"/>
      <c r="I44" s="12"/>
      <c r="J44" s="12"/>
      <c r="K44" s="12"/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77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 t="s">
        <v>82</v>
      </c>
      <c r="B49" s="3">
        <v>600</v>
      </c>
      <c r="C49" s="10">
        <v>1</v>
      </c>
      <c r="D49" s="10" t="s">
        <v>81</v>
      </c>
      <c r="E49" s="10" t="s">
        <v>80</v>
      </c>
      <c r="F49" s="4">
        <v>46188</v>
      </c>
      <c r="G49" s="14" t="s">
        <v>9</v>
      </c>
      <c r="H49" s="10">
        <v>269036809</v>
      </c>
      <c r="I49" s="10">
        <v>3</v>
      </c>
      <c r="J49" s="4">
        <v>46156</v>
      </c>
      <c r="K49" s="10" t="s">
        <v>57</v>
      </c>
    </row>
    <row r="50" spans="1:11" ht="22.5" x14ac:dyDescent="0.45">
      <c r="A50" s="3"/>
      <c r="B50" s="3">
        <v>625</v>
      </c>
      <c r="C50" s="10">
        <v>1</v>
      </c>
      <c r="D50" s="10" t="s">
        <v>24</v>
      </c>
      <c r="E50" s="10" t="s">
        <v>83</v>
      </c>
      <c r="F50" s="4">
        <v>46196</v>
      </c>
      <c r="G50" s="14" t="s">
        <v>16</v>
      </c>
      <c r="H50" s="10"/>
      <c r="I50" s="10">
        <v>8</v>
      </c>
      <c r="J50" s="4"/>
      <c r="K50" s="10" t="s">
        <v>141</v>
      </c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11</v>
      </c>
      <c r="J63" s="10"/>
      <c r="K63" s="10"/>
    </row>
    <row r="64" spans="1:11" ht="22.5" x14ac:dyDescent="0.45">
      <c r="A64" s="3"/>
      <c r="B64" s="3">
        <f>SUM(B50:B63)</f>
        <v>625</v>
      </c>
      <c r="C64" s="10">
        <f>SUM(C49:C63)</f>
        <v>2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9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61" zoomScaleNormal="100" workbookViewId="0">
      <selection activeCell="N44" sqref="N44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87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>
        <v>250</v>
      </c>
      <c r="C4" s="10">
        <v>2</v>
      </c>
      <c r="D4" s="10" t="s">
        <v>94</v>
      </c>
      <c r="E4" s="10"/>
      <c r="F4" s="4">
        <v>46184</v>
      </c>
      <c r="G4" s="15" t="s">
        <v>93</v>
      </c>
      <c r="H4" s="10">
        <v>5861</v>
      </c>
      <c r="I4" s="10">
        <v>5</v>
      </c>
      <c r="J4" s="4">
        <v>46159</v>
      </c>
      <c r="K4" s="10" t="s">
        <v>41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250</v>
      </c>
      <c r="C18" s="10">
        <f>SUM(C4:C17)</f>
        <v>2</v>
      </c>
      <c r="D18" s="10"/>
      <c r="E18" s="10"/>
      <c r="F18" s="10"/>
      <c r="G18" s="10"/>
      <c r="H18" s="10"/>
      <c r="I18" s="10">
        <f>SUM(I4:I17)</f>
        <v>5</v>
      </c>
      <c r="J18" s="10"/>
      <c r="K18" s="10"/>
    </row>
    <row r="19" spans="1:11" ht="22.5" x14ac:dyDescent="0.45">
      <c r="C19" s="12"/>
      <c r="D19" s="12"/>
      <c r="E19" s="10">
        <f>I18-C18</f>
        <v>3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88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 t="s">
        <v>91</v>
      </c>
      <c r="B26" s="3">
        <v>350</v>
      </c>
      <c r="C26" s="10">
        <v>1</v>
      </c>
      <c r="D26" s="10"/>
      <c r="E26" s="10" t="s">
        <v>90</v>
      </c>
      <c r="F26" s="4">
        <v>46165</v>
      </c>
      <c r="G26" s="22" t="s">
        <v>17</v>
      </c>
      <c r="H26" s="10">
        <v>5861</v>
      </c>
      <c r="I26" s="10">
        <v>5</v>
      </c>
      <c r="J26" s="4">
        <v>46159</v>
      </c>
      <c r="K26" s="10" t="s">
        <v>41</v>
      </c>
    </row>
    <row r="27" spans="1:11" ht="22.5" x14ac:dyDescent="0.45">
      <c r="A27" s="3"/>
      <c r="B27" s="3">
        <v>350</v>
      </c>
      <c r="C27" s="10">
        <v>1</v>
      </c>
      <c r="D27" s="10"/>
      <c r="E27" s="10" t="s">
        <v>92</v>
      </c>
      <c r="F27" s="4">
        <v>46183</v>
      </c>
      <c r="G27" s="16" t="s">
        <v>39</v>
      </c>
      <c r="H27" s="10"/>
      <c r="I27" s="10"/>
      <c r="J27" s="4"/>
      <c r="K27" s="10"/>
    </row>
    <row r="28" spans="1:11" ht="22.5" x14ac:dyDescent="0.45">
      <c r="A28" s="3" t="s">
        <v>127</v>
      </c>
      <c r="B28" s="3">
        <v>700</v>
      </c>
      <c r="C28" s="10">
        <v>2</v>
      </c>
      <c r="D28" s="10"/>
      <c r="E28" s="10" t="s">
        <v>126</v>
      </c>
      <c r="F28" s="4">
        <v>46208</v>
      </c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1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1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22.5" x14ac:dyDescent="0.45">
      <c r="A43" s="3"/>
      <c r="B43" s="3">
        <f>SUM(B26:B42)</f>
        <v>1400</v>
      </c>
      <c r="C43" s="10">
        <f>SUM(C26:C42)</f>
        <v>4</v>
      </c>
      <c r="D43" s="10"/>
      <c r="E43" s="10"/>
      <c r="F43" s="10"/>
      <c r="G43" s="10"/>
      <c r="H43" s="10"/>
      <c r="I43" s="10">
        <f>SUM(I26:I42)</f>
        <v>5</v>
      </c>
      <c r="J43" s="10"/>
      <c r="K43" s="10"/>
    </row>
    <row r="44" spans="1:11" ht="22.5" x14ac:dyDescent="0.45">
      <c r="C44" s="12"/>
      <c r="D44" s="12"/>
      <c r="E44" s="10">
        <f>I43-C43</f>
        <v>1</v>
      </c>
      <c r="F44" s="29" t="s">
        <v>13</v>
      </c>
      <c r="G44" s="30"/>
      <c r="H44" s="12"/>
      <c r="I44" s="12"/>
      <c r="J44" s="12"/>
      <c r="K44" s="12" t="s">
        <v>76</v>
      </c>
    </row>
    <row r="45" spans="1:11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1" ht="22.5" x14ac:dyDescent="0.45">
      <c r="A46" s="29" t="s">
        <v>89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1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1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</row>
    <row r="49" spans="1:11" ht="22.5" x14ac:dyDescent="0.45">
      <c r="A49" s="3"/>
      <c r="B49" s="3">
        <v>450</v>
      </c>
      <c r="C49" s="10">
        <v>1</v>
      </c>
      <c r="D49" s="10"/>
      <c r="E49" s="10" t="s">
        <v>92</v>
      </c>
      <c r="F49" s="4">
        <v>46183</v>
      </c>
      <c r="G49" s="16" t="s">
        <v>39</v>
      </c>
      <c r="H49" s="10">
        <v>5861</v>
      </c>
      <c r="I49" s="10">
        <v>5</v>
      </c>
      <c r="J49" s="4">
        <v>46159</v>
      </c>
      <c r="K49" s="10" t="s">
        <v>41</v>
      </c>
    </row>
    <row r="50" spans="1:11" ht="22.5" x14ac:dyDescent="0.45">
      <c r="A50" s="3"/>
      <c r="B50" s="3"/>
      <c r="C50" s="10"/>
      <c r="D50" s="10"/>
      <c r="E50" s="10"/>
      <c r="F50" s="4"/>
      <c r="G50" s="15"/>
      <c r="H50" s="10"/>
      <c r="I50" s="10"/>
      <c r="J50" s="4"/>
      <c r="K50" s="10"/>
    </row>
    <row r="51" spans="1:11" ht="22.5" x14ac:dyDescent="0.45">
      <c r="A51" s="3"/>
      <c r="B51" s="3"/>
      <c r="C51" s="10"/>
      <c r="D51" s="10"/>
      <c r="E51" s="10"/>
      <c r="F51" s="4"/>
      <c r="G51" s="16"/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5</v>
      </c>
      <c r="J63" s="10"/>
      <c r="K63" s="10"/>
    </row>
    <row r="64" spans="1:11" ht="22.5" x14ac:dyDescent="0.45">
      <c r="A64" s="3"/>
      <c r="B64" s="3">
        <f>SUM(B50:B63)</f>
        <v>0</v>
      </c>
      <c r="C64" s="10">
        <f>SUM(C49:C63)</f>
        <v>1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4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48" zoomScaleNormal="100" workbookViewId="0">
      <selection activeCell="N56" sqref="N56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84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10" t="s">
        <v>3</v>
      </c>
      <c r="D3" s="10" t="s">
        <v>10</v>
      </c>
      <c r="E3" s="10" t="s">
        <v>5</v>
      </c>
      <c r="F3" s="10" t="s">
        <v>4</v>
      </c>
      <c r="G3" s="10" t="s">
        <v>1</v>
      </c>
      <c r="H3" s="10" t="s">
        <v>26</v>
      </c>
      <c r="I3" s="10" t="s">
        <v>3</v>
      </c>
      <c r="J3" s="10" t="s">
        <v>2</v>
      </c>
      <c r="K3" s="10" t="s">
        <v>1</v>
      </c>
    </row>
    <row r="4" spans="1:11" s="5" customFormat="1" ht="22.5" x14ac:dyDescent="0.45">
      <c r="A4" s="3"/>
      <c r="B4" s="3"/>
      <c r="C4" s="10"/>
      <c r="D4" s="10"/>
      <c r="E4" s="10"/>
      <c r="F4" s="4"/>
      <c r="G4" s="15"/>
      <c r="H4" s="10">
        <v>269036809</v>
      </c>
      <c r="I4" s="10">
        <v>3</v>
      </c>
      <c r="J4" s="4">
        <v>46156</v>
      </c>
      <c r="K4" s="10" t="s">
        <v>57</v>
      </c>
    </row>
    <row r="5" spans="1:11" ht="22.5" x14ac:dyDescent="0.45">
      <c r="A5" s="3"/>
      <c r="B5" s="3"/>
      <c r="C5" s="10"/>
      <c r="D5" s="10"/>
      <c r="E5" s="10"/>
      <c r="F5" s="4"/>
      <c r="G5" s="16"/>
      <c r="H5" s="10"/>
      <c r="I5" s="10"/>
      <c r="J5" s="4"/>
      <c r="K5" s="10"/>
    </row>
    <row r="6" spans="1:11" ht="22.5" x14ac:dyDescent="0.45">
      <c r="A6" s="3"/>
      <c r="B6" s="3"/>
      <c r="C6" s="10"/>
      <c r="D6" s="10"/>
      <c r="E6" s="10"/>
      <c r="F6" s="4"/>
      <c r="G6" s="16"/>
      <c r="H6" s="10"/>
      <c r="I6" s="10"/>
      <c r="J6" s="10"/>
      <c r="K6" s="10"/>
    </row>
    <row r="7" spans="1:11" ht="22.5" x14ac:dyDescent="0.45">
      <c r="A7" s="3"/>
      <c r="B7" s="3"/>
      <c r="C7" s="10"/>
      <c r="D7" s="10"/>
      <c r="E7" s="10"/>
      <c r="F7" s="4"/>
      <c r="G7" s="16"/>
      <c r="H7" s="10"/>
      <c r="I7" s="10"/>
      <c r="J7" s="10"/>
      <c r="K7" s="10"/>
    </row>
    <row r="8" spans="1:11" ht="22.5" x14ac:dyDescent="0.45">
      <c r="A8" s="3"/>
      <c r="B8" s="3"/>
      <c r="C8" s="10"/>
      <c r="D8" s="10"/>
      <c r="E8" s="10"/>
      <c r="F8" s="10"/>
      <c r="G8" s="10"/>
      <c r="H8" s="10"/>
      <c r="I8" s="10"/>
      <c r="J8" s="10"/>
      <c r="K8" s="10"/>
    </row>
    <row r="9" spans="1:11" ht="22.5" x14ac:dyDescent="0.45">
      <c r="A9" s="3"/>
      <c r="B9" s="3"/>
      <c r="C9" s="10"/>
      <c r="D9" s="10"/>
      <c r="E9" s="10"/>
      <c r="F9" s="10"/>
      <c r="G9" s="10"/>
      <c r="H9" s="10"/>
      <c r="I9" s="10"/>
      <c r="J9" s="10"/>
      <c r="K9" s="10"/>
    </row>
    <row r="10" spans="1:11" ht="22.5" x14ac:dyDescent="0.45">
      <c r="A10" s="3"/>
      <c r="B10" s="3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2.5" x14ac:dyDescent="0.45">
      <c r="A11" s="3"/>
      <c r="B11" s="3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5" x14ac:dyDescent="0.45">
      <c r="A12" s="3"/>
      <c r="B12" s="3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22.5" x14ac:dyDescent="0.45">
      <c r="A13" s="3"/>
      <c r="B13" s="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22.5" x14ac:dyDescent="0.45">
      <c r="A14" s="3"/>
      <c r="B14" s="3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22.5" x14ac:dyDescent="0.45">
      <c r="A15" s="3"/>
      <c r="B15" s="3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22.5" x14ac:dyDescent="0.45">
      <c r="A16" s="3"/>
      <c r="B16" s="3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22.5" x14ac:dyDescent="0.45">
      <c r="A17" s="3"/>
      <c r="B17" s="3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2.5" x14ac:dyDescent="0.45">
      <c r="A18" s="3"/>
      <c r="B18" s="3">
        <f>SUM(B4:B17)</f>
        <v>0</v>
      </c>
      <c r="C18" s="10">
        <f>SUM(C4:C17)</f>
        <v>0</v>
      </c>
      <c r="D18" s="10"/>
      <c r="E18" s="10"/>
      <c r="F18" s="10"/>
      <c r="G18" s="10"/>
      <c r="H18" s="10"/>
      <c r="I18" s="10">
        <f>SUM(I4:I17)</f>
        <v>3</v>
      </c>
      <c r="J18" s="10"/>
      <c r="K18" s="10"/>
    </row>
    <row r="19" spans="1:11" ht="22.5" x14ac:dyDescent="0.45">
      <c r="C19" s="12"/>
      <c r="D19" s="12"/>
      <c r="E19" s="10">
        <f>I18-C18</f>
        <v>3</v>
      </c>
      <c r="F19" s="29" t="s">
        <v>13</v>
      </c>
      <c r="G19" s="30"/>
      <c r="H19" s="12"/>
      <c r="I19" s="12"/>
      <c r="J19" s="12"/>
      <c r="K19" s="12"/>
    </row>
    <row r="20" spans="1:11" ht="22.5" x14ac:dyDescent="0.45"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22.5" x14ac:dyDescent="0.45"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22.5" x14ac:dyDescent="0.45"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8.75" customHeight="1" x14ac:dyDescent="0.45">
      <c r="A23" s="33" t="s">
        <v>85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10" t="s">
        <v>3</v>
      </c>
      <c r="D25" s="10" t="s">
        <v>10</v>
      </c>
      <c r="E25" s="10" t="s">
        <v>5</v>
      </c>
      <c r="F25" s="10" t="s">
        <v>4</v>
      </c>
      <c r="G25" s="10" t="s">
        <v>1</v>
      </c>
      <c r="H25" s="10" t="s">
        <v>26</v>
      </c>
      <c r="I25" s="10" t="s">
        <v>3</v>
      </c>
      <c r="J25" s="10" t="s">
        <v>2</v>
      </c>
      <c r="K25" s="10" t="s">
        <v>1</v>
      </c>
    </row>
    <row r="26" spans="1:11" s="1" customFormat="1" ht="22.5" x14ac:dyDescent="0.45">
      <c r="A26" s="3"/>
      <c r="B26" s="3"/>
      <c r="C26" s="10"/>
      <c r="D26" s="10"/>
      <c r="E26" s="10"/>
      <c r="F26" s="4"/>
      <c r="G26" s="15"/>
      <c r="H26" s="10"/>
      <c r="I26" s="10"/>
      <c r="J26" s="4"/>
      <c r="K26" s="10"/>
    </row>
    <row r="27" spans="1:11" ht="22.5" x14ac:dyDescent="0.45">
      <c r="A27" s="3"/>
      <c r="B27" s="3"/>
      <c r="C27" s="10"/>
      <c r="D27" s="10"/>
      <c r="E27" s="10"/>
      <c r="F27" s="4"/>
      <c r="G27" s="16"/>
      <c r="H27" s="10"/>
      <c r="I27" s="10"/>
      <c r="J27" s="4"/>
      <c r="K27" s="10"/>
    </row>
    <row r="28" spans="1:11" ht="22.5" x14ac:dyDescent="0.45">
      <c r="A28" s="3"/>
      <c r="B28" s="3"/>
      <c r="C28" s="10"/>
      <c r="D28" s="10"/>
      <c r="E28" s="10"/>
      <c r="F28" s="4"/>
      <c r="G28" s="16"/>
      <c r="H28" s="10"/>
      <c r="I28" s="10"/>
      <c r="J28" s="10"/>
      <c r="K28" s="10"/>
    </row>
    <row r="29" spans="1:11" ht="22.5" x14ac:dyDescent="0.45">
      <c r="A29" s="3"/>
      <c r="B29" s="3"/>
      <c r="C29" s="10"/>
      <c r="D29" s="10"/>
      <c r="E29" s="10"/>
      <c r="F29" s="4"/>
      <c r="G29" s="16"/>
      <c r="H29" s="10"/>
      <c r="I29" s="10"/>
      <c r="J29" s="10"/>
      <c r="K29" s="10"/>
    </row>
    <row r="30" spans="1:11" ht="22.5" x14ac:dyDescent="0.45">
      <c r="A30" s="3"/>
      <c r="B30" s="3"/>
      <c r="C30" s="10"/>
      <c r="D30" s="10"/>
      <c r="E30" s="10"/>
      <c r="F30" s="4"/>
      <c r="G30" s="16"/>
      <c r="H30" s="10"/>
      <c r="I30" s="10"/>
      <c r="J30" s="10"/>
      <c r="K30" s="10"/>
    </row>
    <row r="31" spans="1:11" ht="22.5" x14ac:dyDescent="0.45">
      <c r="A31" s="3"/>
      <c r="B31" s="3"/>
      <c r="C31" s="10"/>
      <c r="D31" s="10"/>
      <c r="E31" s="10"/>
      <c r="F31" s="4"/>
      <c r="G31" s="16"/>
      <c r="H31" s="10"/>
      <c r="I31" s="10"/>
      <c r="J31" s="10"/>
      <c r="K31" s="10"/>
    </row>
    <row r="32" spans="1:11" ht="22.5" x14ac:dyDescent="0.45">
      <c r="A32" s="3"/>
      <c r="B32" s="3"/>
      <c r="C32" s="10"/>
      <c r="D32" s="10"/>
      <c r="E32" s="10"/>
      <c r="F32" s="4"/>
      <c r="G32" s="16"/>
      <c r="H32" s="10"/>
      <c r="I32" s="10"/>
      <c r="J32" s="10"/>
      <c r="K32" s="10"/>
    </row>
    <row r="33" spans="1:13" ht="22.5" x14ac:dyDescent="0.45">
      <c r="A33" s="3"/>
      <c r="B33" s="3"/>
      <c r="C33" s="10"/>
      <c r="D33" s="10"/>
      <c r="E33" s="10"/>
      <c r="F33" s="15"/>
      <c r="G33" s="10"/>
      <c r="H33" s="10"/>
      <c r="I33" s="10"/>
      <c r="J33" s="10"/>
      <c r="K33" s="10"/>
    </row>
    <row r="34" spans="1:13" ht="22.5" x14ac:dyDescent="0.45">
      <c r="A34" s="3"/>
      <c r="B34" s="3"/>
      <c r="C34" s="10"/>
      <c r="D34" s="10"/>
      <c r="E34" s="10"/>
      <c r="F34" s="10"/>
      <c r="G34" s="10"/>
      <c r="H34" s="10"/>
      <c r="I34" s="10"/>
      <c r="J34" s="10"/>
      <c r="K34" s="10"/>
    </row>
    <row r="35" spans="1:13" ht="22.5" x14ac:dyDescent="0.45">
      <c r="A35" s="3"/>
      <c r="B35" s="3"/>
      <c r="C35" s="10"/>
      <c r="D35" s="10"/>
      <c r="E35" s="10"/>
      <c r="F35" s="10"/>
      <c r="G35" s="10"/>
      <c r="H35" s="10"/>
      <c r="I35" s="10"/>
      <c r="J35" s="10"/>
      <c r="K35" s="10"/>
    </row>
    <row r="36" spans="1:13" ht="22.5" x14ac:dyDescent="0.45">
      <c r="A36" s="3"/>
      <c r="B36" s="3"/>
      <c r="C36" s="10"/>
      <c r="D36" s="10"/>
      <c r="E36" s="10"/>
      <c r="F36" s="10"/>
      <c r="G36" s="10"/>
      <c r="H36" s="10"/>
      <c r="I36" s="10"/>
      <c r="J36" s="10"/>
      <c r="K36" s="10"/>
    </row>
    <row r="37" spans="1:13" ht="22.5" x14ac:dyDescent="0.45">
      <c r="A37" s="3"/>
      <c r="B37" s="3"/>
      <c r="C37" s="10"/>
      <c r="D37" s="10"/>
      <c r="E37" s="10"/>
      <c r="F37" s="10"/>
      <c r="G37" s="10"/>
      <c r="H37" s="10"/>
      <c r="I37" s="10"/>
      <c r="J37" s="10"/>
      <c r="K37" s="10"/>
    </row>
    <row r="38" spans="1:13" ht="22.5" x14ac:dyDescent="0.45">
      <c r="A38" s="3"/>
      <c r="B38" s="3"/>
      <c r="C38" s="10"/>
      <c r="D38" s="10"/>
      <c r="E38" s="10"/>
      <c r="F38" s="10"/>
      <c r="G38" s="10"/>
      <c r="H38" s="10"/>
      <c r="I38" s="10"/>
      <c r="J38" s="10"/>
      <c r="K38" s="10"/>
    </row>
    <row r="39" spans="1:13" ht="22.5" x14ac:dyDescent="0.45">
      <c r="A39" s="3"/>
      <c r="B39" s="3"/>
      <c r="C39" s="10"/>
      <c r="D39" s="10"/>
      <c r="E39" s="10"/>
      <c r="F39" s="10"/>
      <c r="G39" s="10"/>
      <c r="H39" s="10"/>
      <c r="I39" s="10"/>
      <c r="J39" s="10"/>
      <c r="K39" s="10"/>
    </row>
    <row r="40" spans="1:13" ht="22.5" x14ac:dyDescent="0.45">
      <c r="A40" s="3"/>
      <c r="B40" s="3"/>
      <c r="C40" s="10"/>
      <c r="D40" s="10"/>
      <c r="E40" s="10"/>
      <c r="F40" s="10"/>
      <c r="G40" s="10"/>
      <c r="H40" s="10"/>
      <c r="I40" s="10"/>
      <c r="J40" s="10"/>
      <c r="K40" s="10"/>
    </row>
    <row r="41" spans="1:13" ht="22.5" x14ac:dyDescent="0.45">
      <c r="A41" s="3"/>
      <c r="B41" s="3"/>
      <c r="C41" s="10"/>
      <c r="D41" s="10"/>
      <c r="E41" s="10"/>
      <c r="F41" s="10"/>
      <c r="G41" s="10"/>
      <c r="H41" s="10"/>
      <c r="I41" s="10"/>
      <c r="J41" s="10"/>
      <c r="K41" s="10"/>
    </row>
    <row r="42" spans="1:13" ht="22.5" x14ac:dyDescent="0.45">
      <c r="A42" s="3"/>
      <c r="B42" s="3"/>
      <c r="C42" s="10"/>
      <c r="D42" s="10"/>
      <c r="E42" s="10"/>
      <c r="F42" s="10"/>
      <c r="G42" s="10"/>
      <c r="H42" s="10"/>
      <c r="I42" s="10"/>
      <c r="J42" s="10"/>
      <c r="K42" s="10"/>
    </row>
    <row r="43" spans="1:13" ht="22.5" x14ac:dyDescent="0.45">
      <c r="A43" s="3"/>
      <c r="B43" s="3">
        <f>SUM(B26:B42)</f>
        <v>0</v>
      </c>
      <c r="C43" s="10">
        <f>SUM(C26:C42)</f>
        <v>0</v>
      </c>
      <c r="D43" s="10"/>
      <c r="E43" s="10"/>
      <c r="F43" s="10"/>
      <c r="G43" s="10"/>
      <c r="H43" s="10"/>
      <c r="I43" s="10">
        <f>SUM(I26:I42)</f>
        <v>0</v>
      </c>
      <c r="J43" s="10"/>
      <c r="K43" s="10"/>
    </row>
    <row r="44" spans="1:13" ht="22.5" x14ac:dyDescent="0.45">
      <c r="C44" s="12"/>
      <c r="D44" s="12"/>
      <c r="E44" s="10">
        <f>I43-C43</f>
        <v>0</v>
      </c>
      <c r="F44" s="29" t="s">
        <v>13</v>
      </c>
      <c r="G44" s="30"/>
      <c r="H44" s="12"/>
      <c r="I44" s="12"/>
      <c r="J44" s="12"/>
      <c r="K44" s="12"/>
    </row>
    <row r="45" spans="1:13" ht="22.5" x14ac:dyDescent="0.45">
      <c r="C45" s="12"/>
      <c r="D45" s="12"/>
      <c r="E45" s="11"/>
      <c r="F45" s="11"/>
      <c r="G45" s="11"/>
      <c r="H45" s="12"/>
      <c r="I45" s="12"/>
      <c r="J45" s="12"/>
      <c r="K45" s="12"/>
    </row>
    <row r="46" spans="1:13" ht="22.5" x14ac:dyDescent="0.45">
      <c r="A46" s="29" t="s">
        <v>86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3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3" s="1" customFormat="1" ht="22.5" x14ac:dyDescent="0.45">
      <c r="A48" s="3" t="s">
        <v>8</v>
      </c>
      <c r="B48" s="3" t="s">
        <v>14</v>
      </c>
      <c r="C48" s="10" t="s">
        <v>3</v>
      </c>
      <c r="D48" s="10" t="s">
        <v>10</v>
      </c>
      <c r="E48" s="10" t="s">
        <v>5</v>
      </c>
      <c r="F48" s="10" t="s">
        <v>4</v>
      </c>
      <c r="G48" s="10" t="s">
        <v>1</v>
      </c>
      <c r="H48" s="10" t="s">
        <v>26</v>
      </c>
      <c r="I48" s="10" t="s">
        <v>3</v>
      </c>
      <c r="J48" s="10" t="s">
        <v>2</v>
      </c>
      <c r="K48" s="10" t="s">
        <v>1</v>
      </c>
      <c r="M48" s="1" t="s">
        <v>76</v>
      </c>
    </row>
    <row r="49" spans="1:11" ht="22.5" x14ac:dyDescent="0.45">
      <c r="A49" s="3"/>
      <c r="B49" s="3">
        <v>580</v>
      </c>
      <c r="C49" s="10">
        <v>1</v>
      </c>
      <c r="D49" s="10" t="s">
        <v>74</v>
      </c>
      <c r="E49" s="10" t="s">
        <v>73</v>
      </c>
      <c r="F49" s="4">
        <v>46173</v>
      </c>
      <c r="G49" s="21" t="s">
        <v>41</v>
      </c>
      <c r="H49" s="10">
        <v>269036809</v>
      </c>
      <c r="I49" s="10">
        <v>3</v>
      </c>
      <c r="J49" s="4">
        <v>46156</v>
      </c>
      <c r="K49" s="10" t="s">
        <v>57</v>
      </c>
    </row>
    <row r="50" spans="1:11" ht="22.5" x14ac:dyDescent="0.45">
      <c r="A50" s="3"/>
      <c r="B50" s="3">
        <v>570</v>
      </c>
      <c r="C50" s="10">
        <v>1</v>
      </c>
      <c r="D50" s="10"/>
      <c r="E50" s="10"/>
      <c r="F50" s="4">
        <v>46190</v>
      </c>
      <c r="G50" s="15" t="s">
        <v>57</v>
      </c>
      <c r="H50" s="10"/>
      <c r="I50" s="10"/>
      <c r="J50" s="4"/>
      <c r="K50" s="10"/>
    </row>
    <row r="51" spans="1:11" ht="22.5" x14ac:dyDescent="0.45">
      <c r="A51" s="3" t="s">
        <v>15</v>
      </c>
      <c r="B51" s="3">
        <v>525</v>
      </c>
      <c r="C51" s="10">
        <v>1</v>
      </c>
      <c r="D51" s="10"/>
      <c r="E51" s="10" t="s">
        <v>75</v>
      </c>
      <c r="F51" s="4">
        <v>46196</v>
      </c>
      <c r="G51" s="13" t="s">
        <v>16</v>
      </c>
      <c r="H51" s="10"/>
      <c r="I51" s="10"/>
      <c r="J51" s="10"/>
      <c r="K51" s="10"/>
    </row>
    <row r="52" spans="1:11" ht="22.5" x14ac:dyDescent="0.45">
      <c r="A52" s="3"/>
      <c r="B52" s="3"/>
      <c r="C52" s="10"/>
      <c r="D52" s="10"/>
      <c r="E52" s="10"/>
      <c r="F52" s="4"/>
      <c r="G52" s="16"/>
      <c r="H52" s="10"/>
      <c r="I52" s="10"/>
      <c r="J52" s="10"/>
      <c r="K52" s="10"/>
    </row>
    <row r="53" spans="1:11" ht="22.5" x14ac:dyDescent="0.45">
      <c r="A53" s="3"/>
      <c r="B53" s="3"/>
      <c r="C53" s="10"/>
      <c r="D53" s="10"/>
      <c r="E53" s="10"/>
      <c r="F53" s="4"/>
      <c r="G53" s="16"/>
      <c r="H53" s="10"/>
      <c r="I53" s="10"/>
      <c r="J53" s="10"/>
      <c r="K53" s="10"/>
    </row>
    <row r="54" spans="1:11" ht="22.5" x14ac:dyDescent="0.45">
      <c r="A54" s="3"/>
      <c r="B54" s="3"/>
      <c r="C54" s="10"/>
      <c r="D54" s="10"/>
      <c r="E54" s="10"/>
      <c r="F54" s="4"/>
      <c r="G54" s="10"/>
      <c r="H54" s="10"/>
      <c r="I54" s="10"/>
      <c r="J54" s="10"/>
      <c r="K54" s="10"/>
    </row>
    <row r="55" spans="1:11" ht="22.5" x14ac:dyDescent="0.45">
      <c r="A55" s="3"/>
      <c r="B55" s="3"/>
      <c r="C55" s="10"/>
      <c r="D55" s="10"/>
      <c r="E55" s="10"/>
      <c r="F55" s="4"/>
      <c r="G55" s="10"/>
      <c r="H55" s="10"/>
      <c r="I55" s="10"/>
      <c r="J55" s="10"/>
      <c r="K55" s="10"/>
    </row>
    <row r="56" spans="1:11" ht="22.5" x14ac:dyDescent="0.45">
      <c r="A56" s="3"/>
      <c r="B56" s="3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22.5" x14ac:dyDescent="0.45">
      <c r="A57" s="3"/>
      <c r="B57" s="3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22.5" x14ac:dyDescent="0.45">
      <c r="A58" s="3"/>
      <c r="B58" s="3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22.5" x14ac:dyDescent="0.45">
      <c r="A59" s="3"/>
      <c r="B59" s="3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22.5" x14ac:dyDescent="0.45">
      <c r="A60" s="3"/>
      <c r="B60" s="3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22.5" x14ac:dyDescent="0.45">
      <c r="A61" s="3"/>
      <c r="B61" s="3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22.5" x14ac:dyDescent="0.45">
      <c r="A62" s="3"/>
      <c r="B62" s="3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2.5" x14ac:dyDescent="0.45">
      <c r="A63" s="3"/>
      <c r="B63" s="3"/>
      <c r="C63" s="10"/>
      <c r="D63" s="10"/>
      <c r="E63" s="10"/>
      <c r="F63" s="10"/>
      <c r="G63" s="10"/>
      <c r="H63" s="10"/>
      <c r="I63" s="10">
        <f>SUM(I49:I62)</f>
        <v>3</v>
      </c>
      <c r="J63" s="10"/>
      <c r="K63" s="10"/>
    </row>
    <row r="64" spans="1:11" ht="22.5" x14ac:dyDescent="0.45">
      <c r="A64" s="3"/>
      <c r="B64" s="3">
        <f>SUM(B50:B63)</f>
        <v>1095</v>
      </c>
      <c r="C64" s="10">
        <f>SUM(C49:C63)</f>
        <v>3</v>
      </c>
      <c r="D64" s="10"/>
      <c r="E64" s="10"/>
      <c r="F64" s="10"/>
      <c r="G64" s="10"/>
      <c r="H64" s="12"/>
      <c r="I64" s="12"/>
      <c r="J64" s="12"/>
      <c r="K64" s="12"/>
    </row>
    <row r="65" spans="3:7" ht="22.5" x14ac:dyDescent="0.45">
      <c r="C65" s="12"/>
      <c r="D65" s="12"/>
      <c r="E65" s="10">
        <f>I63-C64</f>
        <v>0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7" zoomScaleNormal="100" workbookViewId="0">
      <selection activeCell="E14" sqref="E14"/>
    </sheetView>
  </sheetViews>
  <sheetFormatPr defaultRowHeight="18.75" x14ac:dyDescent="0.4"/>
  <cols>
    <col min="1" max="1" width="25.710937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137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23" t="s">
        <v>3</v>
      </c>
      <c r="D3" s="23" t="s">
        <v>10</v>
      </c>
      <c r="E3" s="23" t="s">
        <v>5</v>
      </c>
      <c r="F3" s="23" t="s">
        <v>4</v>
      </c>
      <c r="G3" s="23" t="s">
        <v>1</v>
      </c>
      <c r="H3" s="23" t="s">
        <v>26</v>
      </c>
      <c r="I3" s="23" t="s">
        <v>3</v>
      </c>
      <c r="J3" s="23" t="s">
        <v>2</v>
      </c>
      <c r="K3" s="23" t="s">
        <v>1</v>
      </c>
    </row>
    <row r="4" spans="1:11" s="5" customFormat="1" ht="22.5" x14ac:dyDescent="0.45">
      <c r="A4" s="3"/>
      <c r="B4" s="3">
        <v>215</v>
      </c>
      <c r="C4" s="23">
        <v>1</v>
      </c>
      <c r="D4" s="23" t="s">
        <v>146</v>
      </c>
      <c r="E4" s="23" t="s">
        <v>145</v>
      </c>
      <c r="F4" s="4">
        <f>DATE(2026,7,27)</f>
        <v>46230</v>
      </c>
      <c r="G4" s="15" t="s">
        <v>9</v>
      </c>
      <c r="H4" s="23"/>
      <c r="I4" s="23">
        <v>30</v>
      </c>
      <c r="J4" s="4">
        <f>DATE(2026,7,24)</f>
        <v>46227</v>
      </c>
      <c r="K4" s="23" t="s">
        <v>140</v>
      </c>
    </row>
    <row r="5" spans="1:11" ht="22.5" x14ac:dyDescent="0.45">
      <c r="A5" s="3" t="s">
        <v>148</v>
      </c>
      <c r="B5" s="3">
        <v>189</v>
      </c>
      <c r="C5" s="23">
        <v>12</v>
      </c>
      <c r="D5" s="23" t="s">
        <v>43</v>
      </c>
      <c r="E5" s="23" t="s">
        <v>147</v>
      </c>
      <c r="F5" s="4">
        <f>DATE(2026,7,27)</f>
        <v>46230</v>
      </c>
      <c r="G5" s="15" t="s">
        <v>9</v>
      </c>
      <c r="H5" s="23"/>
      <c r="I5" s="23"/>
      <c r="J5" s="4"/>
      <c r="K5" s="23"/>
    </row>
    <row r="6" spans="1:11" ht="22.5" x14ac:dyDescent="0.45">
      <c r="A6" s="3"/>
      <c r="B6" s="3">
        <v>210</v>
      </c>
      <c r="C6" s="23">
        <v>4</v>
      </c>
      <c r="D6" s="23" t="s">
        <v>153</v>
      </c>
      <c r="E6" s="23" t="s">
        <v>152</v>
      </c>
      <c r="F6" s="4">
        <f>DATE(2026,7,30)</f>
        <v>46233</v>
      </c>
      <c r="G6" s="16" t="s">
        <v>57</v>
      </c>
      <c r="H6" s="23"/>
      <c r="I6" s="23"/>
      <c r="J6" s="23"/>
      <c r="K6" s="23"/>
    </row>
    <row r="7" spans="1:11" ht="22.5" x14ac:dyDescent="0.45">
      <c r="A7" s="3"/>
      <c r="B7" s="3"/>
      <c r="C7" s="23"/>
      <c r="D7" s="23"/>
      <c r="E7" s="23"/>
      <c r="F7" s="4"/>
      <c r="G7" s="16"/>
      <c r="H7" s="23"/>
      <c r="I7" s="23"/>
      <c r="J7" s="23"/>
      <c r="K7" s="23"/>
    </row>
    <row r="8" spans="1:11" ht="22.5" x14ac:dyDescent="0.45">
      <c r="A8" s="3"/>
      <c r="B8" s="3"/>
      <c r="C8" s="23"/>
      <c r="D8" s="23"/>
      <c r="E8" s="23"/>
      <c r="F8" s="23"/>
      <c r="G8" s="23"/>
      <c r="H8" s="23"/>
      <c r="I8" s="23"/>
      <c r="J8" s="23"/>
      <c r="K8" s="23"/>
    </row>
    <row r="9" spans="1:11" ht="22.5" x14ac:dyDescent="0.45">
      <c r="A9" s="3"/>
      <c r="B9" s="3"/>
      <c r="C9" s="23"/>
      <c r="D9" s="23"/>
      <c r="E9" s="23"/>
      <c r="F9" s="23"/>
      <c r="G9" s="23"/>
      <c r="H9" s="23"/>
      <c r="I9" s="23"/>
      <c r="J9" s="23"/>
      <c r="K9" s="23"/>
    </row>
    <row r="10" spans="1:11" ht="22.5" x14ac:dyDescent="0.45">
      <c r="A10" s="3"/>
      <c r="B10" s="3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22.5" x14ac:dyDescent="0.45">
      <c r="A11" s="3"/>
      <c r="B11" s="3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22.5" x14ac:dyDescent="0.45">
      <c r="A12" s="3"/>
      <c r="B12" s="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22.5" x14ac:dyDescent="0.45">
      <c r="A13" s="3"/>
      <c r="B13" s="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2.5" x14ac:dyDescent="0.45">
      <c r="A14" s="3"/>
      <c r="B14" s="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22.5" x14ac:dyDescent="0.45">
      <c r="A15" s="3"/>
      <c r="B15" s="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22.5" x14ac:dyDescent="0.45">
      <c r="A16" s="3"/>
      <c r="B16" s="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22.5" x14ac:dyDescent="0.45">
      <c r="A17" s="3"/>
      <c r="B17" s="3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22.5" x14ac:dyDescent="0.45">
      <c r="A18" s="3"/>
      <c r="B18" s="3">
        <f>SUM(B4:B17)</f>
        <v>614</v>
      </c>
      <c r="C18" s="23">
        <f>SUM(C4:C17)</f>
        <v>17</v>
      </c>
      <c r="D18" s="23"/>
      <c r="E18" s="23"/>
      <c r="F18" s="23"/>
      <c r="G18" s="23"/>
      <c r="H18" s="23"/>
      <c r="I18" s="23">
        <f>SUM(I4:I17)</f>
        <v>30</v>
      </c>
      <c r="J18" s="23"/>
      <c r="K18" s="23"/>
    </row>
    <row r="19" spans="1:11" ht="22.5" x14ac:dyDescent="0.45">
      <c r="C19" s="25"/>
      <c r="D19" s="25"/>
      <c r="E19" s="23">
        <f>I18-C18</f>
        <v>13</v>
      </c>
      <c r="F19" s="29" t="s">
        <v>13</v>
      </c>
      <c r="G19" s="30"/>
      <c r="H19" s="25"/>
      <c r="I19" s="25"/>
      <c r="J19" s="25"/>
      <c r="K19" s="25"/>
    </row>
    <row r="20" spans="1:11" ht="22.5" x14ac:dyDescent="0.45"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22.5" x14ac:dyDescent="0.45"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22.5" x14ac:dyDescent="0.45"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8.75" customHeight="1" x14ac:dyDescent="0.45">
      <c r="A23" s="33" t="s">
        <v>138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23" t="s">
        <v>3</v>
      </c>
      <c r="D25" s="23" t="s">
        <v>10</v>
      </c>
      <c r="E25" s="23" t="s">
        <v>5</v>
      </c>
      <c r="F25" s="23" t="s">
        <v>4</v>
      </c>
      <c r="G25" s="23" t="s">
        <v>1</v>
      </c>
      <c r="H25" s="23" t="s">
        <v>26</v>
      </c>
      <c r="I25" s="23" t="s">
        <v>3</v>
      </c>
      <c r="J25" s="23" t="s">
        <v>2</v>
      </c>
      <c r="K25" s="23" t="s">
        <v>1</v>
      </c>
    </row>
    <row r="26" spans="1:11" s="1" customFormat="1" ht="22.5" x14ac:dyDescent="0.45">
      <c r="A26" s="3"/>
      <c r="B26" s="3"/>
      <c r="C26" s="23"/>
      <c r="D26" s="23"/>
      <c r="E26" s="23"/>
      <c r="F26" s="4"/>
      <c r="G26" s="15"/>
      <c r="H26" s="23"/>
      <c r="I26" s="23"/>
      <c r="J26" s="4"/>
      <c r="K26" s="23"/>
    </row>
    <row r="27" spans="1:11" ht="22.5" x14ac:dyDescent="0.45">
      <c r="A27" s="3"/>
      <c r="B27" s="3"/>
      <c r="C27" s="23"/>
      <c r="D27" s="23"/>
      <c r="E27" s="23"/>
      <c r="F27" s="4"/>
      <c r="G27" s="16"/>
      <c r="H27" s="23"/>
      <c r="I27" s="23"/>
      <c r="J27" s="4"/>
      <c r="K27" s="23"/>
    </row>
    <row r="28" spans="1:11" ht="22.5" x14ac:dyDescent="0.45">
      <c r="A28" s="3"/>
      <c r="B28" s="3"/>
      <c r="C28" s="23"/>
      <c r="D28" s="23"/>
      <c r="E28" s="23"/>
      <c r="F28" s="4"/>
      <c r="G28" s="16"/>
      <c r="H28" s="23"/>
      <c r="I28" s="23"/>
      <c r="J28" s="23"/>
      <c r="K28" s="23"/>
    </row>
    <row r="29" spans="1:11" ht="22.5" x14ac:dyDescent="0.45">
      <c r="A29" s="3"/>
      <c r="B29" s="3"/>
      <c r="C29" s="23"/>
      <c r="D29" s="23"/>
      <c r="E29" s="23"/>
      <c r="F29" s="4"/>
      <c r="G29" s="16"/>
      <c r="H29" s="23"/>
      <c r="I29" s="23"/>
      <c r="J29" s="23"/>
      <c r="K29" s="23"/>
    </row>
    <row r="30" spans="1:11" ht="22.5" x14ac:dyDescent="0.45">
      <c r="A30" s="3"/>
      <c r="B30" s="3"/>
      <c r="C30" s="23"/>
      <c r="D30" s="23"/>
      <c r="E30" s="23"/>
      <c r="F30" s="4"/>
      <c r="G30" s="16"/>
      <c r="H30" s="23"/>
      <c r="I30" s="23"/>
      <c r="J30" s="23"/>
      <c r="K30" s="23"/>
    </row>
    <row r="31" spans="1:11" ht="22.5" x14ac:dyDescent="0.45">
      <c r="A31" s="3"/>
      <c r="B31" s="3"/>
      <c r="C31" s="23"/>
      <c r="D31" s="23"/>
      <c r="E31" s="23"/>
      <c r="F31" s="4"/>
      <c r="G31" s="16"/>
      <c r="H31" s="23"/>
      <c r="I31" s="23"/>
      <c r="J31" s="23"/>
      <c r="K31" s="23"/>
    </row>
    <row r="32" spans="1:11" ht="22.5" x14ac:dyDescent="0.45">
      <c r="A32" s="3"/>
      <c r="B32" s="3"/>
      <c r="C32" s="23"/>
      <c r="D32" s="23"/>
      <c r="E32" s="23"/>
      <c r="F32" s="4"/>
      <c r="G32" s="16"/>
      <c r="H32" s="23"/>
      <c r="I32" s="23"/>
      <c r="J32" s="23"/>
      <c r="K32" s="23"/>
    </row>
    <row r="33" spans="1:13" ht="22.5" x14ac:dyDescent="0.45">
      <c r="A33" s="3"/>
      <c r="B33" s="3"/>
      <c r="C33" s="23"/>
      <c r="D33" s="23"/>
      <c r="E33" s="23"/>
      <c r="F33" s="15"/>
      <c r="G33" s="23"/>
      <c r="H33" s="23"/>
      <c r="I33" s="23"/>
      <c r="J33" s="23"/>
      <c r="K33" s="23"/>
    </row>
    <row r="34" spans="1:13" ht="22.5" x14ac:dyDescent="0.45">
      <c r="A34" s="3"/>
      <c r="B34" s="3"/>
      <c r="C34" s="23"/>
      <c r="D34" s="23"/>
      <c r="E34" s="23"/>
      <c r="F34" s="23"/>
      <c r="G34" s="23"/>
      <c r="H34" s="23"/>
      <c r="I34" s="23"/>
      <c r="J34" s="23"/>
      <c r="K34" s="23"/>
    </row>
    <row r="35" spans="1:13" ht="22.5" x14ac:dyDescent="0.45">
      <c r="A35" s="3"/>
      <c r="B35" s="3"/>
      <c r="C35" s="23"/>
      <c r="D35" s="23"/>
      <c r="E35" s="23"/>
      <c r="F35" s="23"/>
      <c r="G35" s="23"/>
      <c r="H35" s="23"/>
      <c r="I35" s="23"/>
      <c r="J35" s="23"/>
      <c r="K35" s="23"/>
    </row>
    <row r="36" spans="1:13" ht="22.5" x14ac:dyDescent="0.45">
      <c r="A36" s="3"/>
      <c r="B36" s="3"/>
      <c r="C36" s="23"/>
      <c r="D36" s="23"/>
      <c r="E36" s="23"/>
      <c r="F36" s="23"/>
      <c r="G36" s="23"/>
      <c r="H36" s="23"/>
      <c r="I36" s="23"/>
      <c r="J36" s="23"/>
      <c r="K36" s="23"/>
    </row>
    <row r="37" spans="1:13" ht="22.5" x14ac:dyDescent="0.45">
      <c r="A37" s="3"/>
      <c r="B37" s="3"/>
      <c r="C37" s="23"/>
      <c r="D37" s="23"/>
      <c r="E37" s="23"/>
      <c r="F37" s="23"/>
      <c r="G37" s="23"/>
      <c r="H37" s="23"/>
      <c r="I37" s="23"/>
      <c r="J37" s="23"/>
      <c r="K37" s="23"/>
    </row>
    <row r="38" spans="1:13" ht="22.5" x14ac:dyDescent="0.45">
      <c r="A38" s="3"/>
      <c r="B38" s="3"/>
      <c r="C38" s="23"/>
      <c r="D38" s="23"/>
      <c r="E38" s="23"/>
      <c r="F38" s="23"/>
      <c r="G38" s="23"/>
      <c r="H38" s="23"/>
      <c r="I38" s="23"/>
      <c r="J38" s="23"/>
      <c r="K38" s="23"/>
    </row>
    <row r="39" spans="1:13" ht="22.5" x14ac:dyDescent="0.45">
      <c r="A39" s="3"/>
      <c r="B39" s="3"/>
      <c r="C39" s="23"/>
      <c r="D39" s="23"/>
      <c r="E39" s="23"/>
      <c r="F39" s="23"/>
      <c r="G39" s="23"/>
      <c r="H39" s="23"/>
      <c r="I39" s="23"/>
      <c r="J39" s="23"/>
      <c r="K39" s="23"/>
    </row>
    <row r="40" spans="1:13" ht="22.5" x14ac:dyDescent="0.45">
      <c r="A40" s="3"/>
      <c r="B40" s="3"/>
      <c r="C40" s="23"/>
      <c r="D40" s="23"/>
      <c r="E40" s="23"/>
      <c r="F40" s="23"/>
      <c r="G40" s="23"/>
      <c r="H40" s="23"/>
      <c r="I40" s="23"/>
      <c r="J40" s="23"/>
      <c r="K40" s="23"/>
    </row>
    <row r="41" spans="1:13" ht="22.5" x14ac:dyDescent="0.45">
      <c r="A41" s="3"/>
      <c r="B41" s="3"/>
      <c r="C41" s="23"/>
      <c r="D41" s="23"/>
      <c r="E41" s="23"/>
      <c r="F41" s="23"/>
      <c r="G41" s="23"/>
      <c r="H41" s="23"/>
      <c r="I41" s="23"/>
      <c r="J41" s="23"/>
      <c r="K41" s="23"/>
    </row>
    <row r="42" spans="1:13" ht="22.5" x14ac:dyDescent="0.45">
      <c r="A42" s="3"/>
      <c r="B42" s="3"/>
      <c r="C42" s="23"/>
      <c r="D42" s="23"/>
      <c r="E42" s="23"/>
      <c r="F42" s="23"/>
      <c r="G42" s="23"/>
      <c r="H42" s="23"/>
      <c r="I42" s="23"/>
      <c r="J42" s="23"/>
      <c r="K42" s="23"/>
    </row>
    <row r="43" spans="1:13" ht="22.5" x14ac:dyDescent="0.45">
      <c r="A43" s="3"/>
      <c r="B43" s="3">
        <f>SUM(B26:B42)</f>
        <v>0</v>
      </c>
      <c r="C43" s="23">
        <f>SUM(C26:C42)</f>
        <v>0</v>
      </c>
      <c r="D43" s="23"/>
      <c r="E43" s="23"/>
      <c r="F43" s="23"/>
      <c r="G43" s="23"/>
      <c r="H43" s="23"/>
      <c r="I43" s="23">
        <f>SUM(I26:I42)</f>
        <v>0</v>
      </c>
      <c r="J43" s="23"/>
      <c r="K43" s="23"/>
    </row>
    <row r="44" spans="1:13" ht="22.5" x14ac:dyDescent="0.45">
      <c r="C44" s="25"/>
      <c r="D44" s="25"/>
      <c r="E44" s="23">
        <f>I43-C43</f>
        <v>0</v>
      </c>
      <c r="F44" s="29" t="s">
        <v>13</v>
      </c>
      <c r="G44" s="30"/>
      <c r="H44" s="25"/>
      <c r="I44" s="25"/>
      <c r="J44" s="25"/>
      <c r="K44" s="25"/>
    </row>
    <row r="45" spans="1:13" ht="22.5" x14ac:dyDescent="0.45">
      <c r="C45" s="25"/>
      <c r="D45" s="25"/>
      <c r="E45" s="24"/>
      <c r="F45" s="24"/>
      <c r="G45" s="24"/>
      <c r="H45" s="25"/>
      <c r="I45" s="25"/>
      <c r="J45" s="25"/>
      <c r="K45" s="25"/>
    </row>
    <row r="46" spans="1:13" ht="22.5" x14ac:dyDescent="0.45">
      <c r="A46" s="29" t="s">
        <v>139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3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3" s="1" customFormat="1" ht="22.5" x14ac:dyDescent="0.45">
      <c r="A48" s="3" t="s">
        <v>8</v>
      </c>
      <c r="B48" s="3" t="s">
        <v>14</v>
      </c>
      <c r="C48" s="23" t="s">
        <v>3</v>
      </c>
      <c r="D48" s="23" t="s">
        <v>10</v>
      </c>
      <c r="E48" s="23" t="s">
        <v>5</v>
      </c>
      <c r="F48" s="23" t="s">
        <v>4</v>
      </c>
      <c r="G48" s="23" t="s">
        <v>1</v>
      </c>
      <c r="H48" s="23" t="s">
        <v>26</v>
      </c>
      <c r="I48" s="23" t="s">
        <v>3</v>
      </c>
      <c r="J48" s="23" t="s">
        <v>2</v>
      </c>
      <c r="K48" s="23" t="s">
        <v>1</v>
      </c>
      <c r="M48" s="1" t="s">
        <v>76</v>
      </c>
    </row>
    <row r="49" spans="1:11" ht="22.5" x14ac:dyDescent="0.45">
      <c r="A49" s="3"/>
      <c r="B49" s="3"/>
      <c r="C49" s="23"/>
      <c r="D49" s="23"/>
      <c r="E49" s="23"/>
      <c r="F49" s="4"/>
      <c r="G49" s="16"/>
      <c r="H49" s="23"/>
      <c r="I49" s="23"/>
      <c r="J49" s="4"/>
      <c r="K49" s="23"/>
    </row>
    <row r="50" spans="1:11" ht="22.5" x14ac:dyDescent="0.45">
      <c r="A50" s="3"/>
      <c r="B50" s="3"/>
      <c r="C50" s="23"/>
      <c r="D50" s="23"/>
      <c r="E50" s="23"/>
      <c r="F50" s="4"/>
      <c r="G50" s="15"/>
      <c r="H50" s="23"/>
      <c r="I50" s="23"/>
      <c r="J50" s="4"/>
      <c r="K50" s="23"/>
    </row>
    <row r="51" spans="1:11" ht="22.5" x14ac:dyDescent="0.45">
      <c r="A51" s="3"/>
      <c r="B51" s="3"/>
      <c r="C51" s="23"/>
      <c r="D51" s="23"/>
      <c r="E51" s="23"/>
      <c r="F51" s="4"/>
      <c r="G51" s="16"/>
      <c r="H51" s="23"/>
      <c r="I51" s="23"/>
      <c r="J51" s="23"/>
      <c r="K51" s="23"/>
    </row>
    <row r="52" spans="1:11" ht="22.5" x14ac:dyDescent="0.45">
      <c r="A52" s="3"/>
      <c r="B52" s="3"/>
      <c r="C52" s="23"/>
      <c r="D52" s="23"/>
      <c r="E52" s="23"/>
      <c r="F52" s="4"/>
      <c r="G52" s="16"/>
      <c r="H52" s="23"/>
      <c r="I52" s="23"/>
      <c r="J52" s="23"/>
      <c r="K52" s="23"/>
    </row>
    <row r="53" spans="1:11" ht="22.5" x14ac:dyDescent="0.45">
      <c r="A53" s="3"/>
      <c r="B53" s="3"/>
      <c r="C53" s="23"/>
      <c r="D53" s="23"/>
      <c r="E53" s="23"/>
      <c r="F53" s="4"/>
      <c r="G53" s="16"/>
      <c r="H53" s="23"/>
      <c r="I53" s="23"/>
      <c r="J53" s="23"/>
      <c r="K53" s="23"/>
    </row>
    <row r="54" spans="1:11" ht="22.5" x14ac:dyDescent="0.45">
      <c r="A54" s="3"/>
      <c r="B54" s="3"/>
      <c r="C54" s="23"/>
      <c r="D54" s="23"/>
      <c r="E54" s="23"/>
      <c r="F54" s="4"/>
      <c r="G54" s="23"/>
      <c r="H54" s="23"/>
      <c r="I54" s="23"/>
      <c r="J54" s="23"/>
      <c r="K54" s="23"/>
    </row>
    <row r="55" spans="1:11" ht="22.5" x14ac:dyDescent="0.45">
      <c r="A55" s="3"/>
      <c r="B55" s="3"/>
      <c r="C55" s="23"/>
      <c r="D55" s="23"/>
      <c r="E55" s="23"/>
      <c r="F55" s="4"/>
      <c r="G55" s="23"/>
      <c r="H55" s="23"/>
      <c r="I55" s="23"/>
      <c r="J55" s="23"/>
      <c r="K55" s="23"/>
    </row>
    <row r="56" spans="1:11" ht="22.5" x14ac:dyDescent="0.45">
      <c r="A56" s="3"/>
      <c r="B56" s="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22.5" x14ac:dyDescent="0.45">
      <c r="A57" s="3"/>
      <c r="B57" s="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22.5" x14ac:dyDescent="0.45">
      <c r="A58" s="3"/>
      <c r="B58" s="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22.5" x14ac:dyDescent="0.45">
      <c r="A59" s="3"/>
      <c r="B59" s="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22.5" x14ac:dyDescent="0.45">
      <c r="A60" s="3"/>
      <c r="B60" s="3"/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22.5" x14ac:dyDescent="0.45">
      <c r="A61" s="3"/>
      <c r="B61" s="3"/>
      <c r="C61" s="23"/>
      <c r="D61" s="23"/>
      <c r="E61" s="23"/>
      <c r="F61" s="23"/>
      <c r="G61" s="23"/>
      <c r="H61" s="23"/>
      <c r="I61" s="23"/>
      <c r="J61" s="23"/>
      <c r="K61" s="23"/>
    </row>
    <row r="62" spans="1:11" ht="22.5" x14ac:dyDescent="0.45">
      <c r="A62" s="3"/>
      <c r="B62" s="3"/>
      <c r="C62" s="23"/>
      <c r="D62" s="23"/>
      <c r="E62" s="23"/>
      <c r="F62" s="23"/>
      <c r="G62" s="23"/>
      <c r="H62" s="23"/>
      <c r="I62" s="23"/>
      <c r="J62" s="23"/>
      <c r="K62" s="23"/>
    </row>
    <row r="63" spans="1:11" ht="22.5" x14ac:dyDescent="0.45">
      <c r="A63" s="3"/>
      <c r="B63" s="3"/>
      <c r="C63" s="23"/>
      <c r="D63" s="23"/>
      <c r="E63" s="23"/>
      <c r="F63" s="23"/>
      <c r="G63" s="23"/>
      <c r="H63" s="23"/>
      <c r="I63" s="23">
        <f>SUM(I49:I62)</f>
        <v>0</v>
      </c>
      <c r="J63" s="23"/>
      <c r="K63" s="23"/>
    </row>
    <row r="64" spans="1:11" ht="22.5" x14ac:dyDescent="0.45">
      <c r="A64" s="3"/>
      <c r="B64" s="3">
        <f>SUM(B50:B63)</f>
        <v>0</v>
      </c>
      <c r="C64" s="23">
        <f>SUM(C49:C63)</f>
        <v>0</v>
      </c>
      <c r="D64" s="23"/>
      <c r="E64" s="23"/>
      <c r="F64" s="23"/>
      <c r="G64" s="23"/>
      <c r="H64" s="25"/>
      <c r="I64" s="25"/>
      <c r="J64" s="25"/>
      <c r="K64" s="25"/>
    </row>
    <row r="65" spans="3:7" ht="22.5" x14ac:dyDescent="0.45">
      <c r="C65" s="25"/>
      <c r="D65" s="25"/>
      <c r="E65" s="23">
        <f>I63-C64</f>
        <v>0</v>
      </c>
      <c r="F65" s="29" t="s">
        <v>13</v>
      </c>
      <c r="G65" s="30"/>
    </row>
  </sheetData>
  <mergeCells count="12">
    <mergeCell ref="F44:G44"/>
    <mergeCell ref="A46:K46"/>
    <mergeCell ref="A47:G47"/>
    <mergeCell ref="H47:K47"/>
    <mergeCell ref="F65:G65"/>
    <mergeCell ref="A24:G24"/>
    <mergeCell ref="H24:K24"/>
    <mergeCell ref="A1:K1"/>
    <mergeCell ref="A2:G2"/>
    <mergeCell ref="H2:K2"/>
    <mergeCell ref="F19:G19"/>
    <mergeCell ref="A23:K23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28" zoomScaleNormal="100" workbookViewId="0">
      <selection activeCell="P20" sqref="P20"/>
    </sheetView>
  </sheetViews>
  <sheetFormatPr defaultRowHeight="18.75" x14ac:dyDescent="0.4"/>
  <cols>
    <col min="1" max="1" width="18.140625" style="1" customWidth="1"/>
    <col min="2" max="2" width="7" style="1" customWidth="1"/>
    <col min="3" max="3" width="6.28515625" style="1" customWidth="1"/>
    <col min="4" max="4" width="15" style="1" customWidth="1"/>
    <col min="5" max="5" width="21.5703125" style="1" customWidth="1"/>
    <col min="6" max="6" width="12.28515625" style="1" customWidth="1"/>
    <col min="7" max="7" width="9.140625" style="1" customWidth="1"/>
    <col min="8" max="8" width="11.28515625" style="1" customWidth="1"/>
    <col min="9" max="9" width="8.42578125" style="1" customWidth="1"/>
    <col min="10" max="10" width="12.28515625" style="1" customWidth="1"/>
    <col min="11" max="11" width="9.140625" style="1" customWidth="1"/>
  </cols>
  <sheetData>
    <row r="1" spans="1:11" ht="22.5" x14ac:dyDescent="0.45">
      <c r="A1" s="33" t="s">
        <v>142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s="2" customFormat="1" ht="22.5" x14ac:dyDescent="0.45">
      <c r="A2" s="32" t="s">
        <v>0</v>
      </c>
      <c r="B2" s="32"/>
      <c r="C2" s="32"/>
      <c r="D2" s="32"/>
      <c r="E2" s="32"/>
      <c r="F2" s="32"/>
      <c r="G2" s="32"/>
      <c r="H2" s="31" t="s">
        <v>6</v>
      </c>
      <c r="I2" s="31"/>
      <c r="J2" s="31"/>
      <c r="K2" s="30"/>
    </row>
    <row r="3" spans="1:11" s="1" customFormat="1" ht="22.5" x14ac:dyDescent="0.45">
      <c r="A3" s="3" t="s">
        <v>8</v>
      </c>
      <c r="B3" s="3" t="s">
        <v>14</v>
      </c>
      <c r="C3" s="27" t="s">
        <v>3</v>
      </c>
      <c r="D3" s="27" t="s">
        <v>10</v>
      </c>
      <c r="E3" s="27" t="s">
        <v>5</v>
      </c>
      <c r="F3" s="27" t="s">
        <v>4</v>
      </c>
      <c r="G3" s="27" t="s">
        <v>1</v>
      </c>
      <c r="H3" s="27" t="s">
        <v>26</v>
      </c>
      <c r="I3" s="27" t="s">
        <v>3</v>
      </c>
      <c r="J3" s="27" t="s">
        <v>2</v>
      </c>
      <c r="K3" s="27" t="s">
        <v>1</v>
      </c>
    </row>
    <row r="4" spans="1:11" s="5" customFormat="1" ht="22.5" x14ac:dyDescent="0.45">
      <c r="A4" s="3"/>
      <c r="B4" s="3">
        <v>270</v>
      </c>
      <c r="C4" s="27">
        <v>1</v>
      </c>
      <c r="D4" s="27" t="s">
        <v>43</v>
      </c>
      <c r="E4" s="27" t="s">
        <v>151</v>
      </c>
      <c r="F4" s="4">
        <f>DATE(2026,7,29)</f>
        <v>46232</v>
      </c>
      <c r="G4" s="15" t="s">
        <v>150</v>
      </c>
      <c r="H4" s="27"/>
      <c r="I4" s="27">
        <v>10</v>
      </c>
      <c r="J4" s="4"/>
      <c r="K4" s="27" t="s">
        <v>141</v>
      </c>
    </row>
    <row r="5" spans="1:11" ht="22.5" x14ac:dyDescent="0.45">
      <c r="A5" s="3"/>
      <c r="B5" s="3"/>
      <c r="C5" s="27"/>
      <c r="D5" s="27"/>
      <c r="E5" s="27"/>
      <c r="F5" s="4"/>
      <c r="G5" s="16"/>
      <c r="H5" s="27"/>
      <c r="I5" s="27"/>
      <c r="J5" s="4"/>
      <c r="K5" s="27"/>
    </row>
    <row r="6" spans="1:11" ht="22.5" x14ac:dyDescent="0.45">
      <c r="A6" s="3"/>
      <c r="B6" s="3"/>
      <c r="C6" s="27"/>
      <c r="D6" s="27"/>
      <c r="E6" s="27"/>
      <c r="F6" s="4"/>
      <c r="G6" s="16"/>
      <c r="H6" s="27"/>
      <c r="I6" s="27"/>
      <c r="J6" s="27"/>
      <c r="K6" s="27"/>
    </row>
    <row r="7" spans="1:11" ht="22.5" x14ac:dyDescent="0.45">
      <c r="A7" s="3"/>
      <c r="B7" s="3"/>
      <c r="C7" s="27"/>
      <c r="D7" s="27"/>
      <c r="E7" s="27"/>
      <c r="F7" s="4"/>
      <c r="G7" s="16"/>
      <c r="H7" s="27"/>
      <c r="I7" s="27"/>
      <c r="J7" s="27"/>
      <c r="K7" s="27"/>
    </row>
    <row r="8" spans="1:11" ht="22.5" x14ac:dyDescent="0.45">
      <c r="A8" s="3"/>
      <c r="B8" s="3"/>
      <c r="C8" s="27"/>
      <c r="D8" s="27"/>
      <c r="E8" s="27"/>
      <c r="F8" s="27"/>
      <c r="G8" s="27"/>
      <c r="H8" s="27"/>
      <c r="I8" s="27"/>
      <c r="J8" s="27"/>
      <c r="K8" s="27"/>
    </row>
    <row r="9" spans="1:11" ht="22.5" x14ac:dyDescent="0.45">
      <c r="A9" s="3"/>
      <c r="B9" s="3"/>
      <c r="C9" s="27"/>
      <c r="D9" s="27"/>
      <c r="E9" s="27"/>
      <c r="F9" s="27"/>
      <c r="G9" s="27"/>
      <c r="H9" s="27"/>
      <c r="I9" s="27"/>
      <c r="J9" s="27"/>
      <c r="K9" s="27"/>
    </row>
    <row r="10" spans="1:11" ht="22.5" x14ac:dyDescent="0.45">
      <c r="A10" s="3"/>
      <c r="B10" s="3"/>
      <c r="C10" s="27"/>
      <c r="D10" s="27"/>
      <c r="E10" s="27"/>
      <c r="F10" s="27"/>
      <c r="G10" s="27"/>
      <c r="H10" s="27"/>
      <c r="I10" s="27"/>
      <c r="J10" s="27"/>
      <c r="K10" s="27"/>
    </row>
    <row r="11" spans="1:11" ht="22.5" x14ac:dyDescent="0.45">
      <c r="A11" s="3"/>
      <c r="B11" s="3"/>
      <c r="C11" s="27"/>
      <c r="D11" s="27"/>
      <c r="E11" s="27"/>
      <c r="F11" s="27"/>
      <c r="G11" s="27"/>
      <c r="H11" s="27"/>
      <c r="I11" s="27"/>
      <c r="J11" s="27"/>
      <c r="K11" s="27"/>
    </row>
    <row r="12" spans="1:11" ht="22.5" x14ac:dyDescent="0.45">
      <c r="A12" s="3"/>
      <c r="B12" s="3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22.5" x14ac:dyDescent="0.45">
      <c r="A13" s="3"/>
      <c r="B13" s="3"/>
      <c r="C13" s="27"/>
      <c r="D13" s="27"/>
      <c r="E13" s="27"/>
      <c r="F13" s="27"/>
      <c r="G13" s="27"/>
      <c r="H13" s="27"/>
      <c r="I13" s="27"/>
      <c r="J13" s="27"/>
      <c r="K13" s="27"/>
    </row>
    <row r="14" spans="1:11" ht="22.5" x14ac:dyDescent="0.45">
      <c r="A14" s="3"/>
      <c r="B14" s="3"/>
      <c r="C14" s="27"/>
      <c r="D14" s="27"/>
      <c r="E14" s="27"/>
      <c r="F14" s="27"/>
      <c r="G14" s="27"/>
      <c r="H14" s="27"/>
      <c r="I14" s="27"/>
      <c r="J14" s="27"/>
      <c r="K14" s="27"/>
    </row>
    <row r="15" spans="1:11" ht="22.5" x14ac:dyDescent="0.45">
      <c r="A15" s="3"/>
      <c r="B15" s="3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22.5" x14ac:dyDescent="0.45">
      <c r="A16" s="3"/>
      <c r="B16" s="3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22.5" x14ac:dyDescent="0.45">
      <c r="A17" s="3"/>
      <c r="B17" s="3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22.5" x14ac:dyDescent="0.45">
      <c r="A18" s="3"/>
      <c r="B18" s="3">
        <f>SUM(B4:B17)</f>
        <v>270</v>
      </c>
      <c r="C18" s="27">
        <f>SUM(C4:C17)</f>
        <v>1</v>
      </c>
      <c r="D18" s="27"/>
      <c r="E18" s="27"/>
      <c r="F18" s="27"/>
      <c r="G18" s="27"/>
      <c r="H18" s="27"/>
      <c r="I18" s="27">
        <f>SUM(I4:I17)</f>
        <v>10</v>
      </c>
      <c r="J18" s="27"/>
      <c r="K18" s="27"/>
    </row>
    <row r="19" spans="1:11" ht="22.5" x14ac:dyDescent="0.45">
      <c r="C19" s="28"/>
      <c r="D19" s="28"/>
      <c r="E19" s="27">
        <f>I18-C18</f>
        <v>9</v>
      </c>
      <c r="F19" s="29" t="s">
        <v>13</v>
      </c>
      <c r="G19" s="30"/>
      <c r="H19" s="28"/>
      <c r="I19" s="28"/>
      <c r="J19" s="28"/>
      <c r="K19" s="28"/>
    </row>
    <row r="20" spans="1:11" ht="22.5" x14ac:dyDescent="0.45">
      <c r="C20" s="28"/>
      <c r="D20" s="28"/>
      <c r="E20" s="28"/>
      <c r="F20" s="28"/>
      <c r="G20" s="28"/>
      <c r="H20" s="28"/>
      <c r="I20" s="28"/>
      <c r="J20" s="28"/>
      <c r="K20" s="28"/>
    </row>
    <row r="21" spans="1:11" ht="22.5" x14ac:dyDescent="0.45">
      <c r="C21" s="28"/>
      <c r="D21" s="28"/>
      <c r="E21" s="28"/>
      <c r="F21" s="28"/>
      <c r="G21" s="28"/>
      <c r="H21" s="28"/>
      <c r="I21" s="28"/>
      <c r="J21" s="28"/>
      <c r="K21" s="28"/>
    </row>
    <row r="22" spans="1:11" ht="22.5" x14ac:dyDescent="0.45">
      <c r="C22" s="28"/>
      <c r="D22" s="28"/>
      <c r="E22" s="28"/>
      <c r="F22" s="28"/>
      <c r="G22" s="28"/>
      <c r="H22" s="28"/>
      <c r="I22" s="28"/>
      <c r="J22" s="28"/>
      <c r="K22" s="28"/>
    </row>
    <row r="23" spans="1:11" ht="18.75" customHeight="1" x14ac:dyDescent="0.45">
      <c r="A23" s="33" t="s">
        <v>144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18.75" customHeight="1" x14ac:dyDescent="0.45">
      <c r="A24" s="32" t="s">
        <v>0</v>
      </c>
      <c r="B24" s="32"/>
      <c r="C24" s="32"/>
      <c r="D24" s="32"/>
      <c r="E24" s="32"/>
      <c r="F24" s="32"/>
      <c r="G24" s="32"/>
      <c r="H24" s="31" t="s">
        <v>6</v>
      </c>
      <c r="I24" s="31"/>
      <c r="J24" s="31"/>
      <c r="K24" s="30"/>
    </row>
    <row r="25" spans="1:11" s="2" customFormat="1" ht="22.5" x14ac:dyDescent="0.45">
      <c r="A25" s="3" t="s">
        <v>8</v>
      </c>
      <c r="B25" s="3" t="s">
        <v>14</v>
      </c>
      <c r="C25" s="27" t="s">
        <v>3</v>
      </c>
      <c r="D25" s="27" t="s">
        <v>10</v>
      </c>
      <c r="E25" s="27" t="s">
        <v>5</v>
      </c>
      <c r="F25" s="27" t="s">
        <v>4</v>
      </c>
      <c r="G25" s="27" t="s">
        <v>1</v>
      </c>
      <c r="H25" s="27" t="s">
        <v>26</v>
      </c>
      <c r="I25" s="27" t="s">
        <v>3</v>
      </c>
      <c r="J25" s="27" t="s">
        <v>2</v>
      </c>
      <c r="K25" s="27" t="s">
        <v>1</v>
      </c>
    </row>
    <row r="26" spans="1:11" s="1" customFormat="1" ht="22.5" x14ac:dyDescent="0.45">
      <c r="A26" s="3"/>
      <c r="B26" s="3"/>
      <c r="C26" s="27"/>
      <c r="D26" s="27"/>
      <c r="E26" s="27"/>
      <c r="F26" s="4"/>
      <c r="G26" s="15"/>
      <c r="H26" s="27"/>
      <c r="I26" s="27">
        <v>6</v>
      </c>
      <c r="J26" s="4"/>
      <c r="K26" s="27" t="s">
        <v>141</v>
      </c>
    </row>
    <row r="27" spans="1:11" ht="22.5" x14ac:dyDescent="0.45">
      <c r="A27" s="3"/>
      <c r="B27" s="3"/>
      <c r="C27" s="27"/>
      <c r="D27" s="27"/>
      <c r="E27" s="27"/>
      <c r="F27" s="4"/>
      <c r="G27" s="16"/>
      <c r="H27" s="27"/>
      <c r="I27" s="27"/>
      <c r="J27" s="4"/>
      <c r="K27" s="27"/>
    </row>
    <row r="28" spans="1:11" ht="22.5" x14ac:dyDescent="0.45">
      <c r="A28" s="3"/>
      <c r="B28" s="3"/>
      <c r="C28" s="27"/>
      <c r="D28" s="27"/>
      <c r="E28" s="27"/>
      <c r="F28" s="4"/>
      <c r="G28" s="16"/>
      <c r="H28" s="27"/>
      <c r="I28" s="27"/>
      <c r="J28" s="27"/>
      <c r="K28" s="27"/>
    </row>
    <row r="29" spans="1:11" ht="22.5" x14ac:dyDescent="0.45">
      <c r="A29" s="3"/>
      <c r="B29" s="3"/>
      <c r="C29" s="27"/>
      <c r="D29" s="27"/>
      <c r="E29" s="27"/>
      <c r="F29" s="4"/>
      <c r="G29" s="16"/>
      <c r="H29" s="27"/>
      <c r="I29" s="27"/>
      <c r="J29" s="27"/>
      <c r="K29" s="27"/>
    </row>
    <row r="30" spans="1:11" ht="22.5" x14ac:dyDescent="0.45">
      <c r="A30" s="3"/>
      <c r="B30" s="3"/>
      <c r="C30" s="27"/>
      <c r="D30" s="27"/>
      <c r="E30" s="27"/>
      <c r="F30" s="4"/>
      <c r="G30" s="16"/>
      <c r="H30" s="27"/>
      <c r="I30" s="27"/>
      <c r="J30" s="27"/>
      <c r="K30" s="27"/>
    </row>
    <row r="31" spans="1:11" ht="22.5" x14ac:dyDescent="0.45">
      <c r="A31" s="3"/>
      <c r="B31" s="3"/>
      <c r="C31" s="27"/>
      <c r="D31" s="27"/>
      <c r="E31" s="27"/>
      <c r="F31" s="4"/>
      <c r="G31" s="16"/>
      <c r="H31" s="27"/>
      <c r="I31" s="27"/>
      <c r="J31" s="27"/>
      <c r="K31" s="27"/>
    </row>
    <row r="32" spans="1:11" ht="22.5" x14ac:dyDescent="0.45">
      <c r="A32" s="3"/>
      <c r="B32" s="3"/>
      <c r="C32" s="27"/>
      <c r="D32" s="27"/>
      <c r="E32" s="27"/>
      <c r="F32" s="4"/>
      <c r="G32" s="16"/>
      <c r="H32" s="27"/>
      <c r="I32" s="27"/>
      <c r="J32" s="27"/>
      <c r="K32" s="27"/>
    </row>
    <row r="33" spans="1:13" ht="22.5" x14ac:dyDescent="0.45">
      <c r="A33" s="3"/>
      <c r="B33" s="3"/>
      <c r="C33" s="27"/>
      <c r="D33" s="27"/>
      <c r="E33" s="27"/>
      <c r="F33" s="15"/>
      <c r="G33" s="27"/>
      <c r="H33" s="27"/>
      <c r="I33" s="27"/>
      <c r="J33" s="27"/>
      <c r="K33" s="27"/>
    </row>
    <row r="34" spans="1:13" ht="22.5" x14ac:dyDescent="0.45">
      <c r="A34" s="3"/>
      <c r="B34" s="3"/>
      <c r="C34" s="27"/>
      <c r="D34" s="27"/>
      <c r="E34" s="27"/>
      <c r="F34" s="27"/>
      <c r="G34" s="27"/>
      <c r="H34" s="27"/>
      <c r="I34" s="27"/>
      <c r="J34" s="27"/>
      <c r="K34" s="27"/>
    </row>
    <row r="35" spans="1:13" ht="22.5" x14ac:dyDescent="0.45">
      <c r="A35" s="3"/>
      <c r="B35" s="3"/>
      <c r="C35" s="27"/>
      <c r="D35" s="27"/>
      <c r="E35" s="27"/>
      <c r="F35" s="27"/>
      <c r="G35" s="27"/>
      <c r="H35" s="27"/>
      <c r="I35" s="27"/>
      <c r="J35" s="27"/>
      <c r="K35" s="27"/>
    </row>
    <row r="36" spans="1:13" ht="22.5" x14ac:dyDescent="0.45">
      <c r="A36" s="3"/>
      <c r="B36" s="3"/>
      <c r="C36" s="27"/>
      <c r="D36" s="27"/>
      <c r="E36" s="27"/>
      <c r="F36" s="27"/>
      <c r="G36" s="27"/>
      <c r="H36" s="27"/>
      <c r="I36" s="27"/>
      <c r="J36" s="27"/>
      <c r="K36" s="27"/>
    </row>
    <row r="37" spans="1:13" ht="22.5" x14ac:dyDescent="0.45">
      <c r="A37" s="3"/>
      <c r="B37" s="3"/>
      <c r="C37" s="27"/>
      <c r="D37" s="27"/>
      <c r="E37" s="27"/>
      <c r="F37" s="27"/>
      <c r="G37" s="27"/>
      <c r="H37" s="27"/>
      <c r="I37" s="27"/>
      <c r="J37" s="27"/>
      <c r="K37" s="27"/>
    </row>
    <row r="38" spans="1:13" ht="22.5" x14ac:dyDescent="0.45">
      <c r="A38" s="3"/>
      <c r="B38" s="3"/>
      <c r="C38" s="27"/>
      <c r="D38" s="27"/>
      <c r="E38" s="27"/>
      <c r="F38" s="27"/>
      <c r="G38" s="27"/>
      <c r="H38" s="27"/>
      <c r="I38" s="27"/>
      <c r="J38" s="27"/>
      <c r="K38" s="27"/>
    </row>
    <row r="39" spans="1:13" ht="22.5" x14ac:dyDescent="0.45">
      <c r="A39" s="3"/>
      <c r="B39" s="3"/>
      <c r="C39" s="27"/>
      <c r="D39" s="27"/>
      <c r="E39" s="27"/>
      <c r="F39" s="27"/>
      <c r="G39" s="27"/>
      <c r="H39" s="27"/>
      <c r="I39" s="27"/>
      <c r="J39" s="27"/>
      <c r="K39" s="27"/>
    </row>
    <row r="40" spans="1:13" ht="22.5" x14ac:dyDescent="0.45">
      <c r="A40" s="3"/>
      <c r="B40" s="3"/>
      <c r="C40" s="27"/>
      <c r="D40" s="27"/>
      <c r="E40" s="27"/>
      <c r="F40" s="27"/>
      <c r="G40" s="27"/>
      <c r="H40" s="27"/>
      <c r="I40" s="27"/>
      <c r="J40" s="27"/>
      <c r="K40" s="27"/>
    </row>
    <row r="41" spans="1:13" ht="22.5" x14ac:dyDescent="0.45">
      <c r="A41" s="3"/>
      <c r="B41" s="3"/>
      <c r="C41" s="27"/>
      <c r="D41" s="27"/>
      <c r="E41" s="27"/>
      <c r="F41" s="27"/>
      <c r="G41" s="27"/>
      <c r="H41" s="27"/>
      <c r="I41" s="27"/>
      <c r="J41" s="27"/>
      <c r="K41" s="27"/>
    </row>
    <row r="42" spans="1:13" ht="22.5" x14ac:dyDescent="0.45">
      <c r="A42" s="3"/>
      <c r="B42" s="3"/>
      <c r="C42" s="27"/>
      <c r="D42" s="27"/>
      <c r="E42" s="27"/>
      <c r="F42" s="27"/>
      <c r="G42" s="27"/>
      <c r="H42" s="27"/>
      <c r="I42" s="27"/>
      <c r="J42" s="27"/>
      <c r="K42" s="27"/>
    </row>
    <row r="43" spans="1:13" ht="22.5" x14ac:dyDescent="0.45">
      <c r="A43" s="3"/>
      <c r="B43" s="3">
        <f>SUM(B26:B42)</f>
        <v>0</v>
      </c>
      <c r="C43" s="27">
        <f>SUM(C26:C42)</f>
        <v>0</v>
      </c>
      <c r="D43" s="27"/>
      <c r="E43" s="27"/>
      <c r="F43" s="27"/>
      <c r="G43" s="27"/>
      <c r="H43" s="27"/>
      <c r="I43" s="27">
        <f>SUM(I26:I42)</f>
        <v>6</v>
      </c>
      <c r="J43" s="27"/>
      <c r="K43" s="27"/>
    </row>
    <row r="44" spans="1:13" ht="22.5" x14ac:dyDescent="0.45">
      <c r="C44" s="28"/>
      <c r="D44" s="28"/>
      <c r="E44" s="27">
        <f>I43-C43</f>
        <v>6</v>
      </c>
      <c r="F44" s="29" t="s">
        <v>13</v>
      </c>
      <c r="G44" s="30"/>
      <c r="H44" s="28"/>
      <c r="I44" s="28"/>
      <c r="J44" s="28"/>
      <c r="K44" s="28"/>
    </row>
    <row r="45" spans="1:13" ht="22.5" x14ac:dyDescent="0.45">
      <c r="C45" s="28"/>
      <c r="D45" s="28"/>
      <c r="E45" s="26"/>
      <c r="F45" s="26"/>
      <c r="G45" s="26"/>
      <c r="H45" s="28"/>
      <c r="I45" s="28"/>
      <c r="J45" s="28"/>
      <c r="K45" s="28"/>
    </row>
    <row r="46" spans="1:13" ht="22.5" x14ac:dyDescent="0.45">
      <c r="A46" s="29" t="s">
        <v>143</v>
      </c>
      <c r="B46" s="31"/>
      <c r="C46" s="31"/>
      <c r="D46" s="31"/>
      <c r="E46" s="31"/>
      <c r="F46" s="31"/>
      <c r="G46" s="31"/>
      <c r="H46" s="31"/>
      <c r="I46" s="31"/>
      <c r="J46" s="31"/>
      <c r="K46" s="30"/>
    </row>
    <row r="47" spans="1:13" s="2" customFormat="1" ht="22.5" x14ac:dyDescent="0.45">
      <c r="A47" s="32" t="s">
        <v>0</v>
      </c>
      <c r="B47" s="32"/>
      <c r="C47" s="32"/>
      <c r="D47" s="32"/>
      <c r="E47" s="32"/>
      <c r="F47" s="32"/>
      <c r="G47" s="32"/>
      <c r="H47" s="31" t="s">
        <v>6</v>
      </c>
      <c r="I47" s="31"/>
      <c r="J47" s="31"/>
      <c r="K47" s="30"/>
    </row>
    <row r="48" spans="1:13" s="1" customFormat="1" ht="22.5" x14ac:dyDescent="0.45">
      <c r="A48" s="3" t="s">
        <v>8</v>
      </c>
      <c r="B48" s="3" t="s">
        <v>14</v>
      </c>
      <c r="C48" s="27" t="s">
        <v>3</v>
      </c>
      <c r="D48" s="27" t="s">
        <v>10</v>
      </c>
      <c r="E48" s="27" t="s">
        <v>5</v>
      </c>
      <c r="F48" s="27" t="s">
        <v>4</v>
      </c>
      <c r="G48" s="27" t="s">
        <v>1</v>
      </c>
      <c r="H48" s="27" t="s">
        <v>26</v>
      </c>
      <c r="I48" s="27" t="s">
        <v>3</v>
      </c>
      <c r="J48" s="27" t="s">
        <v>2</v>
      </c>
      <c r="K48" s="27" t="s">
        <v>1</v>
      </c>
      <c r="M48" s="1" t="s">
        <v>76</v>
      </c>
    </row>
    <row r="49" spans="1:11" ht="22.5" x14ac:dyDescent="0.45">
      <c r="A49" s="3"/>
      <c r="B49" s="3"/>
      <c r="C49" s="27"/>
      <c r="D49" s="27"/>
      <c r="E49" s="27"/>
      <c r="F49" s="4"/>
      <c r="G49" s="16"/>
      <c r="H49" s="27"/>
      <c r="I49" s="27">
        <v>4</v>
      </c>
      <c r="J49" s="4"/>
      <c r="K49" s="27" t="s">
        <v>141</v>
      </c>
    </row>
    <row r="50" spans="1:11" ht="22.5" x14ac:dyDescent="0.45">
      <c r="A50" s="3"/>
      <c r="B50" s="3"/>
      <c r="C50" s="27"/>
      <c r="D50" s="27"/>
      <c r="E50" s="27"/>
      <c r="F50" s="4"/>
      <c r="G50" s="15"/>
      <c r="H50" s="27"/>
      <c r="I50" s="27"/>
      <c r="J50" s="4"/>
      <c r="K50" s="27"/>
    </row>
    <row r="51" spans="1:11" ht="22.5" x14ac:dyDescent="0.45">
      <c r="A51" s="3"/>
      <c r="B51" s="3"/>
      <c r="C51" s="27"/>
      <c r="D51" s="27"/>
      <c r="E51" s="27"/>
      <c r="F51" s="4"/>
      <c r="G51" s="16"/>
      <c r="H51" s="27"/>
      <c r="I51" s="27"/>
      <c r="J51" s="27"/>
      <c r="K51" s="27"/>
    </row>
    <row r="52" spans="1:11" ht="22.5" x14ac:dyDescent="0.45">
      <c r="A52" s="3"/>
      <c r="B52" s="3"/>
      <c r="C52" s="27"/>
      <c r="D52" s="27"/>
      <c r="E52" s="27"/>
      <c r="F52" s="4"/>
      <c r="G52" s="16"/>
      <c r="H52" s="27"/>
      <c r="I52" s="27"/>
      <c r="J52" s="27"/>
      <c r="K52" s="27"/>
    </row>
    <row r="53" spans="1:11" ht="22.5" x14ac:dyDescent="0.45">
      <c r="A53" s="3"/>
      <c r="B53" s="3"/>
      <c r="C53" s="27"/>
      <c r="D53" s="27"/>
      <c r="E53" s="27"/>
      <c r="F53" s="4"/>
      <c r="G53" s="16"/>
      <c r="H53" s="27"/>
      <c r="I53" s="27"/>
      <c r="J53" s="27"/>
      <c r="K53" s="27"/>
    </row>
    <row r="54" spans="1:11" ht="22.5" x14ac:dyDescent="0.45">
      <c r="A54" s="3"/>
      <c r="B54" s="3"/>
      <c r="C54" s="27"/>
      <c r="D54" s="27"/>
      <c r="E54" s="27"/>
      <c r="F54" s="4"/>
      <c r="G54" s="27"/>
      <c r="H54" s="27"/>
      <c r="I54" s="27"/>
      <c r="J54" s="27"/>
      <c r="K54" s="27"/>
    </row>
    <row r="55" spans="1:11" ht="22.5" x14ac:dyDescent="0.45">
      <c r="A55" s="3"/>
      <c r="B55" s="3"/>
      <c r="C55" s="27"/>
      <c r="D55" s="27"/>
      <c r="E55" s="27"/>
      <c r="F55" s="4"/>
      <c r="G55" s="27"/>
      <c r="H55" s="27"/>
      <c r="I55" s="27"/>
      <c r="J55" s="27"/>
      <c r="K55" s="27"/>
    </row>
    <row r="56" spans="1:11" ht="22.5" x14ac:dyDescent="0.45">
      <c r="A56" s="3"/>
      <c r="B56" s="3"/>
      <c r="C56" s="27"/>
      <c r="D56" s="27"/>
      <c r="E56" s="27"/>
      <c r="F56" s="27"/>
      <c r="G56" s="27"/>
      <c r="H56" s="27"/>
      <c r="I56" s="27"/>
      <c r="J56" s="27"/>
      <c r="K56" s="27"/>
    </row>
    <row r="57" spans="1:11" ht="22.5" x14ac:dyDescent="0.45">
      <c r="A57" s="3"/>
      <c r="B57" s="3"/>
      <c r="C57" s="27"/>
      <c r="D57" s="27"/>
      <c r="E57" s="27"/>
      <c r="F57" s="27"/>
      <c r="G57" s="27"/>
      <c r="H57" s="27"/>
      <c r="I57" s="27"/>
      <c r="J57" s="27"/>
      <c r="K57" s="27"/>
    </row>
    <row r="58" spans="1:11" ht="22.5" x14ac:dyDescent="0.45">
      <c r="A58" s="3"/>
      <c r="B58" s="3"/>
      <c r="C58" s="27"/>
      <c r="D58" s="27"/>
      <c r="E58" s="27"/>
      <c r="F58" s="27"/>
      <c r="G58" s="27"/>
      <c r="H58" s="27"/>
      <c r="I58" s="27"/>
      <c r="J58" s="27"/>
      <c r="K58" s="27"/>
    </row>
    <row r="59" spans="1:11" ht="22.5" x14ac:dyDescent="0.45">
      <c r="A59" s="3"/>
      <c r="B59" s="3"/>
      <c r="C59" s="27"/>
      <c r="D59" s="27"/>
      <c r="E59" s="27"/>
      <c r="F59" s="27"/>
      <c r="G59" s="27"/>
      <c r="H59" s="27"/>
      <c r="I59" s="27"/>
      <c r="J59" s="27"/>
      <c r="K59" s="27"/>
    </row>
    <row r="60" spans="1:11" ht="22.5" x14ac:dyDescent="0.45">
      <c r="A60" s="3"/>
      <c r="B60" s="3"/>
      <c r="C60" s="27"/>
      <c r="D60" s="27"/>
      <c r="E60" s="27"/>
      <c r="F60" s="27"/>
      <c r="G60" s="27"/>
      <c r="H60" s="27"/>
      <c r="I60" s="27"/>
      <c r="J60" s="27"/>
      <c r="K60" s="27"/>
    </row>
    <row r="61" spans="1:11" ht="22.5" x14ac:dyDescent="0.45">
      <c r="A61" s="3"/>
      <c r="B61" s="3"/>
      <c r="C61" s="27"/>
      <c r="D61" s="27"/>
      <c r="E61" s="27"/>
      <c r="F61" s="27"/>
      <c r="G61" s="27"/>
      <c r="H61" s="27"/>
      <c r="I61" s="27"/>
      <c r="J61" s="27"/>
      <c r="K61" s="27"/>
    </row>
    <row r="62" spans="1:11" ht="22.5" x14ac:dyDescent="0.45">
      <c r="A62" s="3"/>
      <c r="B62" s="3"/>
      <c r="C62" s="27"/>
      <c r="D62" s="27"/>
      <c r="E62" s="27"/>
      <c r="F62" s="27"/>
      <c r="G62" s="27"/>
      <c r="H62" s="27"/>
      <c r="I62" s="27"/>
      <c r="J62" s="27"/>
      <c r="K62" s="27"/>
    </row>
    <row r="63" spans="1:11" ht="22.5" x14ac:dyDescent="0.45">
      <c r="A63" s="3"/>
      <c r="B63" s="3"/>
      <c r="C63" s="27"/>
      <c r="D63" s="27"/>
      <c r="E63" s="27"/>
      <c r="F63" s="27"/>
      <c r="G63" s="27"/>
      <c r="H63" s="27"/>
      <c r="I63" s="27">
        <f>SUM(I49:I62)</f>
        <v>4</v>
      </c>
      <c r="J63" s="27"/>
      <c r="K63" s="27"/>
    </row>
    <row r="64" spans="1:11" ht="22.5" x14ac:dyDescent="0.45">
      <c r="A64" s="3"/>
      <c r="B64" s="3">
        <f>SUM(B50:B63)</f>
        <v>0</v>
      </c>
      <c r="C64" s="27">
        <f>SUM(C49:C63)</f>
        <v>0</v>
      </c>
      <c r="D64" s="27"/>
      <c r="E64" s="27"/>
      <c r="F64" s="27"/>
      <c r="G64" s="27"/>
      <c r="H64" s="28"/>
      <c r="I64" s="28"/>
      <c r="J64" s="28"/>
      <c r="K64" s="28"/>
    </row>
    <row r="65" spans="3:7" ht="22.5" x14ac:dyDescent="0.45">
      <c r="C65" s="28"/>
      <c r="D65" s="28"/>
      <c r="E65" s="27">
        <f>I63-C64</f>
        <v>4</v>
      </c>
      <c r="F65" s="29" t="s">
        <v>13</v>
      </c>
      <c r="G65" s="30"/>
    </row>
  </sheetData>
  <mergeCells count="12">
    <mergeCell ref="A24:G24"/>
    <mergeCell ref="H24:K24"/>
    <mergeCell ref="A1:K1"/>
    <mergeCell ref="A2:G2"/>
    <mergeCell ref="H2:K2"/>
    <mergeCell ref="F19:G19"/>
    <mergeCell ref="A23:K23"/>
    <mergeCell ref="F44:G44"/>
    <mergeCell ref="A46:K46"/>
    <mergeCell ref="A47:G47"/>
    <mergeCell ref="H47:K47"/>
    <mergeCell ref="F65:G6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16</vt:i4>
      </vt:variant>
    </vt:vector>
  </HeadingPairs>
  <TitlesOfParts>
    <vt:vector size="16" baseType="lpstr">
      <vt:lpstr>LG</vt:lpstr>
      <vt:lpstr>KELON</vt:lpstr>
      <vt:lpstr>AUX</vt:lpstr>
      <vt:lpstr>goldsky</vt:lpstr>
      <vt:lpstr>TCL</vt:lpstr>
      <vt:lpstr>   samsung</vt:lpstr>
      <vt:lpstr>HAIER R</vt:lpstr>
      <vt:lpstr>مراوح</vt:lpstr>
      <vt:lpstr> مكيفات صحراوي</vt:lpstr>
      <vt:lpstr> HAIER DAIMOND </vt:lpstr>
      <vt:lpstr>HAIER PREMIUM</vt:lpstr>
      <vt:lpstr>GREE</vt:lpstr>
      <vt:lpstr>GENERAL PRO</vt:lpstr>
      <vt:lpstr>MEDIA</vt:lpstr>
      <vt:lpstr>GENERAL DELUX</vt:lpstr>
      <vt:lpstr>NASMA)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KAFAWEEN</dc:creator>
  <cp:lastModifiedBy>T.G</cp:lastModifiedBy>
  <cp:lastPrinted>2026-06-25T13:12:27Z</cp:lastPrinted>
  <dcterms:created xsi:type="dcterms:W3CDTF">2026-06-21T08:46:02Z</dcterms:created>
  <dcterms:modified xsi:type="dcterms:W3CDTF">2026-08-06T18:01:44Z</dcterms:modified>
</cp:coreProperties>
</file>