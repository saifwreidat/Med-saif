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8320" windowHeight="12480"/>
  </bookViews>
  <sheets>
    <sheet name="الذمم" sheetId="1" r:id="rId1"/>
  </sheets>
  <calcPr calcId="144525"/>
</workbook>
</file>

<file path=xl/calcChain.xml><?xml version="1.0" encoding="utf-8"?>
<calcChain xmlns="http://schemas.openxmlformats.org/spreadsheetml/2006/main">
  <c r="F53" i="1" l="1"/>
  <c r="A53" i="1"/>
  <c r="F51" i="1" l="1"/>
  <c r="A97" i="1"/>
  <c r="A39" i="1" l="1"/>
  <c r="A17" i="1" l="1"/>
  <c r="A15" i="1"/>
  <c r="A43" i="1" s="1"/>
</calcChain>
</file>

<file path=xl/sharedStrings.xml><?xml version="1.0" encoding="utf-8"?>
<sst xmlns="http://schemas.openxmlformats.org/spreadsheetml/2006/main" count="88" uniqueCount="54">
  <si>
    <t>الزبون</t>
  </si>
  <si>
    <t>التاريخ</t>
  </si>
  <si>
    <t>اليوم</t>
  </si>
  <si>
    <t>النوع</t>
  </si>
  <si>
    <t>الذمة</t>
  </si>
  <si>
    <t>المجموع</t>
  </si>
  <si>
    <t xml:space="preserve">علاء المطارنة </t>
  </si>
  <si>
    <t>الاثنين</t>
  </si>
  <si>
    <t>ابو عبدالله</t>
  </si>
  <si>
    <t>الثلاثاء</t>
  </si>
  <si>
    <t xml:space="preserve">هاير بريميوم 2 طن </t>
  </si>
  <si>
    <t>كويليتي</t>
  </si>
  <si>
    <t>الاربعاء</t>
  </si>
  <si>
    <t>ستارة هوائية * 2</t>
  </si>
  <si>
    <t>هاير دايموند 2 طن *2</t>
  </si>
  <si>
    <t>المهندس خالد</t>
  </si>
  <si>
    <t>جينيرال برو 1.5 طن</t>
  </si>
  <si>
    <t>جينيرال برو 2 طن</t>
  </si>
  <si>
    <t>الخميس</t>
  </si>
  <si>
    <t xml:space="preserve"> جينيرال برو 1 طن *2 + ستارة  </t>
  </si>
  <si>
    <t xml:space="preserve">ابو عون القرالة </t>
  </si>
  <si>
    <t>السبت</t>
  </si>
  <si>
    <t>هاير بريميوم 2 طن *2</t>
  </si>
  <si>
    <t xml:space="preserve"> </t>
  </si>
  <si>
    <t>هاير دايموند 2 طن *3</t>
  </si>
  <si>
    <t>هاير دايموند 2 طن *1</t>
  </si>
  <si>
    <t>الحباشنة / فني</t>
  </si>
  <si>
    <t>مهند مهاوش</t>
  </si>
  <si>
    <t>ميديا سيريس 2 طن</t>
  </si>
  <si>
    <t>ساجدة الكفاوين</t>
  </si>
  <si>
    <t>الاحد</t>
  </si>
  <si>
    <t>مكيف صحراوي 90L</t>
  </si>
  <si>
    <t>هاير دايموند 1.5 طن</t>
  </si>
  <si>
    <t>فرحان الرواشدة</t>
  </si>
  <si>
    <t>ختاتنه محمد عبدالوهاب</t>
  </si>
  <si>
    <t>د.احمد طراونه</t>
  </si>
  <si>
    <t>هاير رفيف 1 طن / اخر الشهر</t>
  </si>
  <si>
    <t>المهندس معن الفقرا</t>
  </si>
  <si>
    <t>روا 1طن عدد 2</t>
  </si>
  <si>
    <t>محمد/تكرم هوم</t>
  </si>
  <si>
    <t>شيك</t>
  </si>
  <si>
    <t>فراس الرواشدة</t>
  </si>
  <si>
    <t xml:space="preserve">هاير دايموند 1 طن </t>
  </si>
  <si>
    <t>سامسونج  طن عدد 1+ قطع</t>
  </si>
  <si>
    <t xml:space="preserve">كت 4 متر + شد وصل </t>
  </si>
  <si>
    <t>هاير دايموند 2 طن * 1</t>
  </si>
  <si>
    <t>ام عبدالله الكفاوين</t>
  </si>
  <si>
    <t>حموده / غور</t>
  </si>
  <si>
    <t>احمد الختاتنه</t>
  </si>
  <si>
    <t>هاير دايموند 1 طن</t>
  </si>
  <si>
    <t>مامون</t>
  </si>
  <si>
    <t>هايردايموند 2 طن *1</t>
  </si>
  <si>
    <t xml:space="preserve">ابو سليمان الحمايدة </t>
  </si>
  <si>
    <t xml:space="preserve">لين الطراونة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</si>
</sst>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1" fillId="0" borderId="14" xfId="0" applyNumberFormat="1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16" fontId="1" fillId="0" borderId="11" xfId="0" applyNumberFormat="1" applyFont="1" applyFill="1" applyBorder="1" applyAlignment="1">
      <alignment horizontal="center" vertical="center"/>
    </xf>
    <xf numFmtId="16" fontId="1" fillId="0" borderId="1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"/>
  <sheetViews>
    <sheetView tabSelected="1" topLeftCell="A11" workbookViewId="0">
      <selection activeCell="K29" sqref="K29"/>
    </sheetView>
  </sheetViews>
  <sheetFormatPr defaultRowHeight="21" x14ac:dyDescent="0.35"/>
  <cols>
    <col min="1" max="1" width="8.42578125" style="1" customWidth="1"/>
    <col min="2" max="2" width="0.140625" style="1" hidden="1" customWidth="1"/>
    <col min="3" max="3" width="9.140625" style="1"/>
    <col min="4" max="4" width="23.7109375" style="1" customWidth="1"/>
    <col min="5" max="5" width="9" style="1" customWidth="1"/>
    <col min="6" max="6" width="17.7109375" style="1" customWidth="1"/>
    <col min="7" max="7" width="9.140625" style="1"/>
    <col min="8" max="8" width="8.28515625" style="1" customWidth="1"/>
    <col min="9" max="9" width="9.140625" style="1" hidden="1" customWidth="1"/>
    <col min="10" max="16384" width="9.140625" style="1"/>
  </cols>
  <sheetData>
    <row r="1" spans="1:16" x14ac:dyDescent="0.35">
      <c r="A1" s="3" t="s">
        <v>4</v>
      </c>
      <c r="B1" s="5"/>
      <c r="C1" s="3" t="s">
        <v>3</v>
      </c>
      <c r="D1" s="5"/>
      <c r="E1" s="60" t="s">
        <v>2</v>
      </c>
      <c r="F1" s="61" t="s">
        <v>1</v>
      </c>
      <c r="G1" s="3" t="s">
        <v>0</v>
      </c>
      <c r="H1" s="4"/>
      <c r="I1" s="5"/>
    </row>
    <row r="2" spans="1:16" x14ac:dyDescent="0.35">
      <c r="A2" s="17"/>
      <c r="B2" s="18"/>
      <c r="C2" s="17"/>
      <c r="D2" s="18"/>
      <c r="E2" s="20"/>
      <c r="F2" s="30"/>
      <c r="G2" s="17"/>
      <c r="H2" s="62"/>
      <c r="I2" s="18"/>
    </row>
    <row r="3" spans="1:16" ht="15" customHeight="1" x14ac:dyDescent="0.35">
      <c r="A3" s="11"/>
      <c r="B3" s="12"/>
      <c r="C3" s="15" t="s">
        <v>25</v>
      </c>
      <c r="D3" s="16"/>
      <c r="E3" s="19" t="s">
        <v>7</v>
      </c>
      <c r="F3" s="21">
        <v>46167</v>
      </c>
      <c r="G3" s="69" t="s">
        <v>6</v>
      </c>
      <c r="H3" s="70"/>
      <c r="I3" s="71"/>
    </row>
    <row r="4" spans="1:16" ht="15" customHeight="1" x14ac:dyDescent="0.35">
      <c r="A4" s="13"/>
      <c r="B4" s="14"/>
      <c r="C4" s="17"/>
      <c r="D4" s="18"/>
      <c r="E4" s="20"/>
      <c r="F4" s="22">
        <v>46197</v>
      </c>
      <c r="G4" s="72"/>
      <c r="H4" s="73"/>
      <c r="I4" s="74"/>
    </row>
    <row r="5" spans="1:16" ht="15" customHeight="1" x14ac:dyDescent="0.35">
      <c r="A5" s="11">
        <v>570</v>
      </c>
      <c r="B5" s="12"/>
      <c r="C5" s="15" t="s">
        <v>10</v>
      </c>
      <c r="D5" s="16"/>
      <c r="E5" s="19" t="s">
        <v>9</v>
      </c>
      <c r="F5" s="21">
        <v>46175</v>
      </c>
      <c r="G5" s="11" t="s">
        <v>8</v>
      </c>
      <c r="H5" s="31"/>
      <c r="I5" s="12"/>
      <c r="P5" s="2"/>
    </row>
    <row r="6" spans="1:16" ht="15" customHeight="1" x14ac:dyDescent="0.35">
      <c r="A6" s="13"/>
      <c r="B6" s="14"/>
      <c r="C6" s="17"/>
      <c r="D6" s="18"/>
      <c r="E6" s="20"/>
      <c r="F6" s="22">
        <v>46197</v>
      </c>
      <c r="G6" s="13"/>
      <c r="H6" s="35"/>
      <c r="I6" s="14"/>
    </row>
    <row r="7" spans="1:16" ht="15" customHeight="1" x14ac:dyDescent="0.35">
      <c r="A7" s="11">
        <v>200</v>
      </c>
      <c r="B7" s="12"/>
      <c r="C7" s="15" t="s">
        <v>13</v>
      </c>
      <c r="D7" s="16"/>
      <c r="E7" s="19" t="s">
        <v>12</v>
      </c>
      <c r="F7" s="21">
        <v>46176</v>
      </c>
      <c r="G7" s="11" t="s">
        <v>11</v>
      </c>
      <c r="H7" s="31"/>
      <c r="I7" s="12"/>
    </row>
    <row r="8" spans="1:16" ht="15" customHeight="1" x14ac:dyDescent="0.35">
      <c r="A8" s="13"/>
      <c r="B8" s="14"/>
      <c r="C8" s="17"/>
      <c r="D8" s="18"/>
      <c r="E8" s="20"/>
      <c r="F8" s="22">
        <v>46197</v>
      </c>
      <c r="G8" s="13"/>
      <c r="H8" s="35"/>
      <c r="I8" s="14"/>
    </row>
    <row r="9" spans="1:16" ht="15" customHeight="1" x14ac:dyDescent="0.35">
      <c r="A9" s="11"/>
      <c r="B9" s="12"/>
      <c r="C9" s="15" t="s">
        <v>14</v>
      </c>
      <c r="D9" s="16"/>
      <c r="E9" s="19" t="s">
        <v>7</v>
      </c>
      <c r="F9" s="21">
        <v>46181</v>
      </c>
      <c r="G9" s="75" t="s">
        <v>6</v>
      </c>
      <c r="H9" s="76"/>
      <c r="I9" s="77"/>
    </row>
    <row r="10" spans="1:16" ht="15" customHeight="1" x14ac:dyDescent="0.35">
      <c r="A10" s="13"/>
      <c r="B10" s="14"/>
      <c r="C10" s="17"/>
      <c r="D10" s="18"/>
      <c r="E10" s="20"/>
      <c r="F10" s="22">
        <v>46197</v>
      </c>
      <c r="G10" s="78"/>
      <c r="H10" s="79"/>
      <c r="I10" s="80"/>
    </row>
    <row r="11" spans="1:16" ht="15" customHeight="1" x14ac:dyDescent="0.35">
      <c r="A11" s="11">
        <v>350</v>
      </c>
      <c r="B11" s="12"/>
      <c r="C11" s="15" t="s">
        <v>16</v>
      </c>
      <c r="D11" s="16"/>
      <c r="E11" s="19" t="s">
        <v>12</v>
      </c>
      <c r="F11" s="21">
        <v>46183</v>
      </c>
      <c r="G11" s="11" t="s">
        <v>15</v>
      </c>
      <c r="H11" s="31"/>
      <c r="I11" s="12"/>
    </row>
    <row r="12" spans="1:16" ht="15" customHeight="1" x14ac:dyDescent="0.35">
      <c r="A12" s="13"/>
      <c r="B12" s="14"/>
      <c r="C12" s="17"/>
      <c r="D12" s="18"/>
      <c r="E12" s="20"/>
      <c r="F12" s="22">
        <v>46197</v>
      </c>
      <c r="G12" s="13"/>
      <c r="H12" s="35"/>
      <c r="I12" s="14"/>
    </row>
    <row r="13" spans="1:16" ht="15" customHeight="1" x14ac:dyDescent="0.35">
      <c r="A13" s="11">
        <v>450</v>
      </c>
      <c r="B13" s="12"/>
      <c r="C13" s="15" t="s">
        <v>17</v>
      </c>
      <c r="D13" s="16"/>
      <c r="E13" s="19" t="s">
        <v>12</v>
      </c>
      <c r="F13" s="21">
        <v>46183</v>
      </c>
      <c r="G13" s="11" t="s">
        <v>15</v>
      </c>
      <c r="H13" s="31"/>
      <c r="I13" s="12"/>
    </row>
    <row r="14" spans="1:16" ht="15" customHeight="1" x14ac:dyDescent="0.35">
      <c r="A14" s="13"/>
      <c r="B14" s="14"/>
      <c r="C14" s="17"/>
      <c r="D14" s="18"/>
      <c r="E14" s="20"/>
      <c r="F14" s="22">
        <v>46197</v>
      </c>
      <c r="G14" s="13"/>
      <c r="H14" s="35"/>
      <c r="I14" s="14"/>
    </row>
    <row r="15" spans="1:16" ht="15" customHeight="1" x14ac:dyDescent="0.35">
      <c r="A15" s="11">
        <f>2*250+120</f>
        <v>620</v>
      </c>
      <c r="B15" s="12"/>
      <c r="C15" s="15" t="s">
        <v>19</v>
      </c>
      <c r="D15" s="16"/>
      <c r="E15" s="19" t="s">
        <v>18</v>
      </c>
      <c r="F15" s="21">
        <v>46184</v>
      </c>
      <c r="G15" s="11" t="s">
        <v>34</v>
      </c>
      <c r="H15" s="31"/>
      <c r="I15" s="12"/>
    </row>
    <row r="16" spans="1:16" ht="15" customHeight="1" x14ac:dyDescent="0.35">
      <c r="A16" s="13"/>
      <c r="B16" s="14"/>
      <c r="C16" s="17"/>
      <c r="D16" s="18"/>
      <c r="E16" s="20"/>
      <c r="F16" s="22">
        <v>46197</v>
      </c>
      <c r="G16" s="13"/>
      <c r="H16" s="35"/>
      <c r="I16" s="14"/>
    </row>
    <row r="17" spans="1:9" ht="15" customHeight="1" x14ac:dyDescent="0.35">
      <c r="A17" s="11">
        <f>520</f>
        <v>520</v>
      </c>
      <c r="B17" s="12"/>
      <c r="C17" s="15" t="s">
        <v>22</v>
      </c>
      <c r="D17" s="16"/>
      <c r="E17" s="19" t="s">
        <v>21</v>
      </c>
      <c r="F17" s="21">
        <v>46186</v>
      </c>
      <c r="G17" s="11" t="s">
        <v>20</v>
      </c>
      <c r="H17" s="31"/>
      <c r="I17" s="12"/>
    </row>
    <row r="18" spans="1:9" ht="15" customHeight="1" thickBot="1" x14ac:dyDescent="0.4">
      <c r="A18" s="46"/>
      <c r="B18" s="47"/>
      <c r="C18" s="48"/>
      <c r="D18" s="10"/>
      <c r="E18" s="49"/>
      <c r="F18" s="50">
        <v>46197</v>
      </c>
      <c r="G18" s="46"/>
      <c r="H18" s="51"/>
      <c r="I18" s="47"/>
    </row>
    <row r="19" spans="1:9" x14ac:dyDescent="0.35">
      <c r="A19" s="3"/>
      <c r="B19" s="52"/>
      <c r="C19" s="53" t="s">
        <v>24</v>
      </c>
      <c r="D19" s="5"/>
      <c r="E19" s="54"/>
      <c r="F19" s="55"/>
      <c r="G19" s="81" t="s">
        <v>6</v>
      </c>
      <c r="H19" s="82"/>
      <c r="I19" s="83"/>
    </row>
    <row r="20" spans="1:9" x14ac:dyDescent="0.35">
      <c r="A20" s="13"/>
      <c r="B20" s="14"/>
      <c r="C20" s="17"/>
      <c r="D20" s="18"/>
      <c r="E20" s="20"/>
      <c r="F20" s="30"/>
      <c r="G20" s="78"/>
      <c r="H20" s="79"/>
      <c r="I20" s="80"/>
    </row>
    <row r="21" spans="1:9" ht="15" customHeight="1" x14ac:dyDescent="0.35">
      <c r="A21" s="11">
        <v>44</v>
      </c>
      <c r="B21" s="12"/>
      <c r="C21" s="15" t="s">
        <v>23</v>
      </c>
      <c r="D21" s="16"/>
      <c r="E21" s="19" t="s">
        <v>9</v>
      </c>
      <c r="F21" s="21">
        <v>46196</v>
      </c>
      <c r="G21" s="11" t="s">
        <v>26</v>
      </c>
      <c r="H21" s="31"/>
      <c r="I21" s="12"/>
    </row>
    <row r="22" spans="1:9" ht="15" customHeight="1" x14ac:dyDescent="0.35">
      <c r="A22" s="13"/>
      <c r="B22" s="14"/>
      <c r="C22" s="17"/>
      <c r="D22" s="18"/>
      <c r="E22" s="20"/>
      <c r="F22" s="22">
        <v>46197</v>
      </c>
      <c r="G22" s="13"/>
      <c r="H22" s="35"/>
      <c r="I22" s="14"/>
    </row>
    <row r="23" spans="1:9" ht="15" customHeight="1" x14ac:dyDescent="0.35">
      <c r="A23" s="11">
        <v>525</v>
      </c>
      <c r="B23" s="12"/>
      <c r="C23" s="15" t="s">
        <v>28</v>
      </c>
      <c r="D23" s="16"/>
      <c r="E23" s="19" t="s">
        <v>9</v>
      </c>
      <c r="F23" s="21">
        <v>46196</v>
      </c>
      <c r="G23" s="11" t="s">
        <v>27</v>
      </c>
      <c r="H23" s="31"/>
      <c r="I23" s="12"/>
    </row>
    <row r="24" spans="1:9" ht="15" customHeight="1" x14ac:dyDescent="0.35">
      <c r="A24" s="13"/>
      <c r="B24" s="14"/>
      <c r="C24" s="17"/>
      <c r="D24" s="18"/>
      <c r="E24" s="20"/>
      <c r="F24" s="22">
        <v>46197</v>
      </c>
      <c r="G24" s="13"/>
      <c r="H24" s="35"/>
      <c r="I24" s="14"/>
    </row>
    <row r="25" spans="1:9" ht="15" customHeight="1" x14ac:dyDescent="0.35">
      <c r="A25" s="11">
        <v>130</v>
      </c>
      <c r="B25" s="12"/>
      <c r="C25" s="15" t="s">
        <v>31</v>
      </c>
      <c r="D25" s="16"/>
      <c r="E25" s="19" t="s">
        <v>30</v>
      </c>
      <c r="F25" s="21">
        <v>46201</v>
      </c>
      <c r="G25" s="11" t="s">
        <v>29</v>
      </c>
      <c r="H25" s="31"/>
      <c r="I25" s="12"/>
    </row>
    <row r="26" spans="1:9" ht="15" customHeight="1" x14ac:dyDescent="0.35">
      <c r="A26" s="13"/>
      <c r="B26" s="14"/>
      <c r="C26" s="17"/>
      <c r="D26" s="18"/>
      <c r="E26" s="20"/>
      <c r="F26" s="22">
        <v>46197</v>
      </c>
      <c r="G26" s="13"/>
      <c r="H26" s="35"/>
      <c r="I26" s="14"/>
    </row>
    <row r="27" spans="1:9" ht="15" customHeight="1" x14ac:dyDescent="0.35">
      <c r="A27" s="11">
        <v>380</v>
      </c>
      <c r="B27" s="12"/>
      <c r="C27" s="15" t="s">
        <v>32</v>
      </c>
      <c r="D27" s="16"/>
      <c r="E27" s="19" t="s">
        <v>12</v>
      </c>
      <c r="F27" s="21">
        <v>46204</v>
      </c>
      <c r="G27" s="11" t="s">
        <v>33</v>
      </c>
      <c r="H27" s="31"/>
      <c r="I27" s="12"/>
    </row>
    <row r="28" spans="1:9" ht="15" customHeight="1" x14ac:dyDescent="0.35">
      <c r="A28" s="13"/>
      <c r="B28" s="14"/>
      <c r="C28" s="17"/>
      <c r="D28" s="18"/>
      <c r="E28" s="20"/>
      <c r="F28" s="22">
        <v>46197</v>
      </c>
      <c r="G28" s="13"/>
      <c r="H28" s="35"/>
      <c r="I28" s="14"/>
    </row>
    <row r="29" spans="1:9" ht="15" customHeight="1" x14ac:dyDescent="0.35">
      <c r="A29" s="11">
        <v>50</v>
      </c>
      <c r="B29" s="12"/>
      <c r="C29" s="15" t="s">
        <v>36</v>
      </c>
      <c r="D29" s="16"/>
      <c r="E29" s="19" t="s">
        <v>21</v>
      </c>
      <c r="F29" s="21">
        <v>46214</v>
      </c>
      <c r="G29" s="11" t="s">
        <v>35</v>
      </c>
      <c r="H29" s="31"/>
      <c r="I29" s="12"/>
    </row>
    <row r="30" spans="1:9" ht="15" customHeight="1" x14ac:dyDescent="0.35">
      <c r="A30" s="13"/>
      <c r="B30" s="14"/>
      <c r="C30" s="17"/>
      <c r="D30" s="18"/>
      <c r="E30" s="20"/>
      <c r="F30" s="22">
        <v>46197</v>
      </c>
      <c r="G30" s="13"/>
      <c r="H30" s="35"/>
      <c r="I30" s="14"/>
    </row>
    <row r="31" spans="1:9" ht="15" customHeight="1" x14ac:dyDescent="0.35">
      <c r="A31" s="11"/>
      <c r="B31" s="12"/>
      <c r="C31" s="15" t="s">
        <v>43</v>
      </c>
      <c r="D31" s="16"/>
      <c r="E31" s="19" t="s">
        <v>21</v>
      </c>
      <c r="F31" s="21">
        <v>46214</v>
      </c>
      <c r="G31" s="75" t="s">
        <v>6</v>
      </c>
      <c r="H31" s="76"/>
      <c r="I31" s="77"/>
    </row>
    <row r="32" spans="1:9" ht="15" customHeight="1" x14ac:dyDescent="0.35">
      <c r="A32" s="13"/>
      <c r="B32" s="14"/>
      <c r="C32" s="17"/>
      <c r="D32" s="18"/>
      <c r="E32" s="20"/>
      <c r="F32" s="22">
        <v>46197</v>
      </c>
      <c r="G32" s="78"/>
      <c r="H32" s="79"/>
      <c r="I32" s="80"/>
    </row>
    <row r="33" spans="1:9" ht="15" customHeight="1" x14ac:dyDescent="0.35">
      <c r="A33" s="11"/>
      <c r="B33" s="12"/>
      <c r="C33" s="15" t="s">
        <v>38</v>
      </c>
      <c r="D33" s="16"/>
      <c r="E33" s="19" t="s">
        <v>9</v>
      </c>
      <c r="F33" s="21">
        <v>46217</v>
      </c>
      <c r="G33" s="11" t="s">
        <v>37</v>
      </c>
      <c r="H33" s="31"/>
      <c r="I33" s="12"/>
    </row>
    <row r="34" spans="1:9" ht="15" customHeight="1" x14ac:dyDescent="0.35">
      <c r="A34" s="13"/>
      <c r="B34" s="14"/>
      <c r="C34" s="17"/>
      <c r="D34" s="18"/>
      <c r="E34" s="20"/>
      <c r="F34" s="22">
        <v>46197</v>
      </c>
      <c r="G34" s="13"/>
      <c r="H34" s="35"/>
      <c r="I34" s="14"/>
    </row>
    <row r="35" spans="1:9" x14ac:dyDescent="0.35">
      <c r="A35" s="11" t="s">
        <v>40</v>
      </c>
      <c r="B35" s="12"/>
      <c r="C35" s="15" t="s">
        <v>51</v>
      </c>
      <c r="D35" s="16"/>
      <c r="E35" s="19" t="s">
        <v>9</v>
      </c>
      <c r="F35" s="21">
        <v>46217</v>
      </c>
      <c r="G35" s="11" t="s">
        <v>39</v>
      </c>
      <c r="H35" s="31"/>
      <c r="I35" s="12"/>
    </row>
    <row r="36" spans="1:9" x14ac:dyDescent="0.35">
      <c r="A36" s="13"/>
      <c r="B36" s="14"/>
      <c r="C36" s="17"/>
      <c r="D36" s="18"/>
      <c r="E36" s="20"/>
      <c r="F36" s="22">
        <v>46197</v>
      </c>
      <c r="G36" s="13"/>
      <c r="H36" s="35"/>
      <c r="I36" s="14"/>
    </row>
    <row r="37" spans="1:9" ht="15" customHeight="1" x14ac:dyDescent="0.35">
      <c r="A37" s="11">
        <v>300</v>
      </c>
      <c r="B37" s="12"/>
      <c r="C37" s="15" t="s">
        <v>42</v>
      </c>
      <c r="D37" s="16"/>
      <c r="E37" s="19" t="s">
        <v>7</v>
      </c>
      <c r="F37" s="21">
        <v>46167</v>
      </c>
      <c r="G37" s="11" t="s">
        <v>41</v>
      </c>
      <c r="H37" s="31"/>
      <c r="I37" s="12"/>
    </row>
    <row r="38" spans="1:9" ht="15" customHeight="1" x14ac:dyDescent="0.35">
      <c r="A38" s="13"/>
      <c r="B38" s="14"/>
      <c r="C38" s="17"/>
      <c r="D38" s="18"/>
      <c r="E38" s="20"/>
      <c r="F38" s="22">
        <v>46197</v>
      </c>
      <c r="G38" s="13"/>
      <c r="H38" s="35"/>
      <c r="I38" s="14"/>
    </row>
    <row r="39" spans="1:9" x14ac:dyDescent="0.35">
      <c r="A39" s="11">
        <f>17+1</f>
        <v>18</v>
      </c>
      <c r="B39" s="12"/>
      <c r="C39" s="15" t="s">
        <v>44</v>
      </c>
      <c r="D39" s="16"/>
      <c r="E39" s="19" t="s">
        <v>18</v>
      </c>
      <c r="F39" s="21">
        <v>46226</v>
      </c>
      <c r="G39" s="11" t="s">
        <v>26</v>
      </c>
      <c r="H39" s="31"/>
      <c r="I39" s="12"/>
    </row>
    <row r="40" spans="1:9" x14ac:dyDescent="0.35">
      <c r="A40" s="13"/>
      <c r="B40" s="14"/>
      <c r="C40" s="17"/>
      <c r="D40" s="18"/>
      <c r="E40" s="20"/>
      <c r="F40" s="22">
        <v>46197</v>
      </c>
      <c r="G40" s="13"/>
      <c r="H40" s="35"/>
      <c r="I40" s="14"/>
    </row>
    <row r="41" spans="1:9" x14ac:dyDescent="0.35">
      <c r="A41" s="11"/>
      <c r="B41" s="12"/>
      <c r="C41" s="15" t="s">
        <v>45</v>
      </c>
      <c r="D41" s="16"/>
      <c r="E41" s="19" t="s">
        <v>18</v>
      </c>
      <c r="F41" s="21">
        <v>46226</v>
      </c>
      <c r="G41" s="75" t="s">
        <v>6</v>
      </c>
      <c r="H41" s="76"/>
      <c r="I41" s="77"/>
    </row>
    <row r="42" spans="1:9" ht="21.75" thickBot="1" x14ac:dyDescent="0.4">
      <c r="A42" s="13"/>
      <c r="B42" s="14"/>
      <c r="C42" s="17"/>
      <c r="D42" s="18"/>
      <c r="E42" s="20"/>
      <c r="F42" s="22">
        <v>46197</v>
      </c>
      <c r="G42" s="78"/>
      <c r="H42" s="79"/>
      <c r="I42" s="80"/>
    </row>
    <row r="43" spans="1:9" x14ac:dyDescent="0.35">
      <c r="A43" s="3">
        <f>SUM(A3:B42)</f>
        <v>4157</v>
      </c>
      <c r="B43" s="4"/>
      <c r="C43" s="4"/>
      <c r="D43" s="5"/>
      <c r="E43" s="3" t="s">
        <v>5</v>
      </c>
      <c r="F43" s="4"/>
      <c r="G43" s="9"/>
      <c r="H43" s="9"/>
      <c r="I43" s="10"/>
    </row>
    <row r="44" spans="1:9" ht="21.75" thickBot="1" x14ac:dyDescent="0.4">
      <c r="A44" s="6"/>
      <c r="B44" s="7"/>
      <c r="C44" s="7"/>
      <c r="D44" s="8"/>
      <c r="E44" s="6"/>
      <c r="F44" s="7"/>
      <c r="G44" s="7"/>
      <c r="H44" s="7"/>
      <c r="I44" s="8"/>
    </row>
    <row r="48" spans="1:9" ht="21.75" thickBot="1" x14ac:dyDescent="0.4"/>
    <row r="49" spans="1:9" x14ac:dyDescent="0.35">
      <c r="A49" s="3" t="s">
        <v>4</v>
      </c>
      <c r="B49" s="5"/>
      <c r="C49" s="3" t="s">
        <v>3</v>
      </c>
      <c r="D49" s="5"/>
      <c r="E49" s="60" t="s">
        <v>2</v>
      </c>
      <c r="F49" s="61" t="s">
        <v>1</v>
      </c>
      <c r="G49" s="3" t="s">
        <v>0</v>
      </c>
      <c r="H49" s="4"/>
      <c r="I49" s="5"/>
    </row>
    <row r="50" spans="1:9" x14ac:dyDescent="0.35">
      <c r="A50" s="17"/>
      <c r="B50" s="18"/>
      <c r="C50" s="17"/>
      <c r="D50" s="18"/>
      <c r="E50" s="20"/>
      <c r="F50" s="30"/>
      <c r="G50" s="17"/>
      <c r="H50" s="62"/>
      <c r="I50" s="18"/>
    </row>
    <row r="51" spans="1:9" x14ac:dyDescent="0.35">
      <c r="A51" s="11">
        <v>440</v>
      </c>
      <c r="B51" s="12"/>
      <c r="C51" s="15" t="s">
        <v>32</v>
      </c>
      <c r="D51" s="16"/>
      <c r="E51" s="19" t="s">
        <v>7</v>
      </c>
      <c r="F51" s="21">
        <f>DATE(2026,7,27)</f>
        <v>46230</v>
      </c>
      <c r="G51" s="63" t="s">
        <v>47</v>
      </c>
      <c r="H51" s="64"/>
      <c r="I51" s="65"/>
    </row>
    <row r="52" spans="1:9" x14ac:dyDescent="0.35">
      <c r="A52" s="13"/>
      <c r="B52" s="14"/>
      <c r="C52" s="17"/>
      <c r="D52" s="18"/>
      <c r="E52" s="20"/>
      <c r="F52" s="22">
        <v>46197</v>
      </c>
      <c r="G52" s="66"/>
      <c r="H52" s="67"/>
      <c r="I52" s="68"/>
    </row>
    <row r="53" spans="1:9" x14ac:dyDescent="0.35">
      <c r="A53" s="11">
        <f>440-40-180</f>
        <v>220</v>
      </c>
      <c r="B53" s="12"/>
      <c r="C53" s="15"/>
      <c r="D53" s="16"/>
      <c r="E53" s="19"/>
      <c r="F53" s="59">
        <f>DATE(2026,7,29)</f>
        <v>46232</v>
      </c>
      <c r="G53" s="11" t="s">
        <v>46</v>
      </c>
      <c r="H53" s="31"/>
      <c r="I53" s="12"/>
    </row>
    <row r="54" spans="1:9" ht="21.75" thickBot="1" x14ac:dyDescent="0.4">
      <c r="A54" s="13"/>
      <c r="B54" s="14"/>
      <c r="C54" s="17"/>
      <c r="D54" s="18"/>
      <c r="E54" s="20"/>
      <c r="F54" s="30"/>
      <c r="G54" s="32"/>
      <c r="H54" s="33"/>
      <c r="I54" s="34"/>
    </row>
    <row r="55" spans="1:9" x14ac:dyDescent="0.35">
      <c r="A55" s="11" t="s">
        <v>50</v>
      </c>
      <c r="B55" s="12"/>
      <c r="C55" s="15" t="s">
        <v>49</v>
      </c>
      <c r="D55" s="16"/>
      <c r="E55" s="19" t="s">
        <v>21</v>
      </c>
      <c r="F55" s="21">
        <v>46030</v>
      </c>
      <c r="G55" s="11" t="s">
        <v>48</v>
      </c>
      <c r="H55" s="31"/>
      <c r="I55" s="12"/>
    </row>
    <row r="56" spans="1:9" x14ac:dyDescent="0.35">
      <c r="A56" s="13"/>
      <c r="B56" s="14"/>
      <c r="C56" s="17"/>
      <c r="D56" s="18"/>
      <c r="E56" s="20"/>
      <c r="F56" s="22">
        <v>46197</v>
      </c>
      <c r="G56" s="13"/>
      <c r="H56" s="35"/>
      <c r="I56" s="14"/>
    </row>
    <row r="57" spans="1:9" x14ac:dyDescent="0.35">
      <c r="A57" s="11" t="s">
        <v>50</v>
      </c>
      <c r="B57" s="12"/>
      <c r="C57" s="15" t="s">
        <v>49</v>
      </c>
      <c r="D57" s="16"/>
      <c r="E57" s="19" t="s">
        <v>21</v>
      </c>
      <c r="F57" s="21">
        <v>46242</v>
      </c>
      <c r="G57" s="23" t="s">
        <v>52</v>
      </c>
      <c r="H57" s="24"/>
      <c r="I57" s="25"/>
    </row>
    <row r="58" spans="1:9" x14ac:dyDescent="0.35">
      <c r="A58" s="13"/>
      <c r="B58" s="14"/>
      <c r="C58" s="17"/>
      <c r="D58" s="18"/>
      <c r="E58" s="20"/>
      <c r="F58" s="22">
        <v>46197</v>
      </c>
      <c r="G58" s="26"/>
      <c r="H58" s="27"/>
      <c r="I58" s="28"/>
    </row>
    <row r="59" spans="1:9" x14ac:dyDescent="0.35">
      <c r="A59" s="11">
        <v>300</v>
      </c>
      <c r="B59" s="12"/>
      <c r="C59" s="15" t="s">
        <v>49</v>
      </c>
      <c r="D59" s="16"/>
      <c r="E59" s="19" t="s">
        <v>21</v>
      </c>
      <c r="F59" s="21">
        <v>46242</v>
      </c>
      <c r="G59" s="11" t="s">
        <v>53</v>
      </c>
      <c r="H59" s="31"/>
      <c r="I59" s="12"/>
    </row>
    <row r="60" spans="1:9" x14ac:dyDescent="0.35">
      <c r="A60" s="13"/>
      <c r="B60" s="14"/>
      <c r="C60" s="17"/>
      <c r="D60" s="18"/>
      <c r="E60" s="20"/>
      <c r="F60" s="22">
        <v>46197</v>
      </c>
      <c r="G60" s="13"/>
      <c r="H60" s="35"/>
      <c r="I60" s="14"/>
    </row>
    <row r="61" spans="1:9" x14ac:dyDescent="0.35">
      <c r="A61" s="11"/>
      <c r="B61" s="12"/>
      <c r="C61" s="15"/>
      <c r="D61" s="16"/>
      <c r="E61" s="19"/>
      <c r="F61" s="21"/>
      <c r="G61" s="11"/>
      <c r="H61" s="31"/>
      <c r="I61" s="12"/>
    </row>
    <row r="62" spans="1:9" x14ac:dyDescent="0.35">
      <c r="A62" s="13"/>
      <c r="B62" s="14"/>
      <c r="C62" s="17"/>
      <c r="D62" s="18"/>
      <c r="E62" s="20"/>
      <c r="F62" s="22">
        <v>46197</v>
      </c>
      <c r="G62" s="13"/>
      <c r="H62" s="35"/>
      <c r="I62" s="14"/>
    </row>
    <row r="63" spans="1:9" x14ac:dyDescent="0.35">
      <c r="A63" s="11"/>
      <c r="B63" s="12"/>
      <c r="C63" s="15"/>
      <c r="D63" s="16"/>
      <c r="E63" s="19"/>
      <c r="F63" s="21"/>
      <c r="G63" s="11"/>
      <c r="H63" s="31"/>
      <c r="I63" s="12"/>
    </row>
    <row r="64" spans="1:9" x14ac:dyDescent="0.35">
      <c r="A64" s="13"/>
      <c r="B64" s="14"/>
      <c r="C64" s="17"/>
      <c r="D64" s="18"/>
      <c r="E64" s="20"/>
      <c r="F64" s="22">
        <v>46197</v>
      </c>
      <c r="G64" s="13"/>
      <c r="H64" s="35"/>
      <c r="I64" s="14"/>
    </row>
    <row r="65" spans="1:9" x14ac:dyDescent="0.35">
      <c r="A65" s="11"/>
      <c r="B65" s="12"/>
      <c r="C65" s="15"/>
      <c r="D65" s="16"/>
      <c r="E65" s="19"/>
      <c r="F65" s="21"/>
      <c r="G65" s="11"/>
      <c r="H65" s="31"/>
      <c r="I65" s="12"/>
    </row>
    <row r="66" spans="1:9" ht="21.75" thickBot="1" x14ac:dyDescent="0.4">
      <c r="A66" s="46"/>
      <c r="B66" s="47"/>
      <c r="C66" s="48"/>
      <c r="D66" s="10"/>
      <c r="E66" s="49"/>
      <c r="F66" s="50">
        <v>46197</v>
      </c>
      <c r="G66" s="46"/>
      <c r="H66" s="51"/>
      <c r="I66" s="47"/>
    </row>
    <row r="67" spans="1:9" x14ac:dyDescent="0.35">
      <c r="A67" s="3"/>
      <c r="B67" s="52"/>
      <c r="C67" s="53"/>
      <c r="D67" s="5"/>
      <c r="E67" s="54"/>
      <c r="F67" s="55"/>
      <c r="G67" s="56"/>
      <c r="H67" s="57"/>
      <c r="I67" s="58"/>
    </row>
    <row r="68" spans="1:9" x14ac:dyDescent="0.35">
      <c r="A68" s="13"/>
      <c r="B68" s="14"/>
      <c r="C68" s="17"/>
      <c r="D68" s="18"/>
      <c r="E68" s="20"/>
      <c r="F68" s="30"/>
      <c r="G68" s="26"/>
      <c r="H68" s="27"/>
      <c r="I68" s="28"/>
    </row>
    <row r="69" spans="1:9" x14ac:dyDescent="0.35">
      <c r="A69" s="11"/>
      <c r="B69" s="12"/>
      <c r="C69" s="15" t="s">
        <v>23</v>
      </c>
      <c r="D69" s="16"/>
      <c r="E69" s="19"/>
      <c r="F69" s="21"/>
      <c r="G69" s="11"/>
      <c r="H69" s="31"/>
      <c r="I69" s="12"/>
    </row>
    <row r="70" spans="1:9" x14ac:dyDescent="0.35">
      <c r="A70" s="13"/>
      <c r="B70" s="14"/>
      <c r="C70" s="17"/>
      <c r="D70" s="18"/>
      <c r="E70" s="20"/>
      <c r="F70" s="22">
        <v>46197</v>
      </c>
      <c r="G70" s="13"/>
      <c r="H70" s="35"/>
      <c r="I70" s="14"/>
    </row>
    <row r="71" spans="1:9" x14ac:dyDescent="0.35">
      <c r="A71" s="11"/>
      <c r="B71" s="12"/>
      <c r="C71" s="15"/>
      <c r="D71" s="16"/>
      <c r="E71" s="19"/>
      <c r="F71" s="21"/>
      <c r="G71" s="11"/>
      <c r="H71" s="31"/>
      <c r="I71" s="12"/>
    </row>
    <row r="72" spans="1:9" x14ac:dyDescent="0.35">
      <c r="A72" s="13"/>
      <c r="B72" s="14"/>
      <c r="C72" s="17"/>
      <c r="D72" s="18"/>
      <c r="E72" s="20"/>
      <c r="F72" s="22">
        <v>46197</v>
      </c>
      <c r="G72" s="13"/>
      <c r="H72" s="35"/>
      <c r="I72" s="14"/>
    </row>
    <row r="73" spans="1:9" x14ac:dyDescent="0.35">
      <c r="A73" s="11"/>
      <c r="B73" s="12"/>
      <c r="C73" s="15"/>
      <c r="D73" s="16"/>
      <c r="E73" s="19"/>
      <c r="F73" s="21"/>
      <c r="G73" s="11"/>
      <c r="H73" s="31"/>
      <c r="I73" s="12"/>
    </row>
    <row r="74" spans="1:9" x14ac:dyDescent="0.35">
      <c r="A74" s="13"/>
      <c r="B74" s="14"/>
      <c r="C74" s="17"/>
      <c r="D74" s="18"/>
      <c r="E74" s="20"/>
      <c r="F74" s="22">
        <v>46197</v>
      </c>
      <c r="G74" s="13"/>
      <c r="H74" s="35"/>
      <c r="I74" s="14"/>
    </row>
    <row r="75" spans="1:9" x14ac:dyDescent="0.35">
      <c r="A75" s="23"/>
      <c r="B75" s="25"/>
      <c r="C75" s="36"/>
      <c r="D75" s="37"/>
      <c r="E75" s="40"/>
      <c r="F75" s="44"/>
      <c r="G75" s="23"/>
      <c r="H75" s="24"/>
      <c r="I75" s="25"/>
    </row>
    <row r="76" spans="1:9" x14ac:dyDescent="0.35">
      <c r="A76" s="26"/>
      <c r="B76" s="28"/>
      <c r="C76" s="38"/>
      <c r="D76" s="39"/>
      <c r="E76" s="41"/>
      <c r="F76" s="45">
        <v>46197</v>
      </c>
      <c r="G76" s="26"/>
      <c r="H76" s="27"/>
      <c r="I76" s="28"/>
    </row>
    <row r="77" spans="1:9" x14ac:dyDescent="0.35">
      <c r="A77" s="11"/>
      <c r="B77" s="12"/>
      <c r="C77" s="15"/>
      <c r="D77" s="16"/>
      <c r="E77" s="19"/>
      <c r="F77" s="21"/>
      <c r="G77" s="11"/>
      <c r="H77" s="31"/>
      <c r="I77" s="12"/>
    </row>
    <row r="78" spans="1:9" x14ac:dyDescent="0.35">
      <c r="A78" s="13"/>
      <c r="B78" s="14"/>
      <c r="C78" s="17"/>
      <c r="D78" s="18"/>
      <c r="E78" s="20"/>
      <c r="F78" s="22">
        <v>46197</v>
      </c>
      <c r="G78" s="13"/>
      <c r="H78" s="35"/>
      <c r="I78" s="14"/>
    </row>
    <row r="79" spans="1:9" x14ac:dyDescent="0.35">
      <c r="A79" s="11"/>
      <c r="B79" s="12"/>
      <c r="C79" s="15"/>
      <c r="D79" s="16"/>
      <c r="E79" s="19"/>
      <c r="F79" s="21"/>
      <c r="G79" s="11"/>
      <c r="H79" s="31"/>
      <c r="I79" s="12"/>
    </row>
    <row r="80" spans="1:9" x14ac:dyDescent="0.35">
      <c r="A80" s="13"/>
      <c r="B80" s="14"/>
      <c r="C80" s="17"/>
      <c r="D80" s="18"/>
      <c r="E80" s="20"/>
      <c r="F80" s="22">
        <v>46197</v>
      </c>
      <c r="G80" s="13"/>
      <c r="H80" s="35"/>
      <c r="I80" s="14"/>
    </row>
    <row r="81" spans="1:9" x14ac:dyDescent="0.35">
      <c r="A81" s="11"/>
      <c r="B81" s="12"/>
      <c r="C81" s="15"/>
      <c r="D81" s="16"/>
      <c r="E81" s="19"/>
      <c r="F81" s="21"/>
      <c r="G81" s="23"/>
      <c r="H81" s="24"/>
      <c r="I81" s="25"/>
    </row>
    <row r="82" spans="1:9" x14ac:dyDescent="0.35">
      <c r="A82" s="13"/>
      <c r="B82" s="14"/>
      <c r="C82" s="17"/>
      <c r="D82" s="18"/>
      <c r="E82" s="20"/>
      <c r="F82" s="22">
        <v>46197</v>
      </c>
      <c r="G82" s="26"/>
      <c r="H82" s="27"/>
      <c r="I82" s="28"/>
    </row>
    <row r="83" spans="1:9" x14ac:dyDescent="0.35">
      <c r="A83" s="23"/>
      <c r="B83" s="25"/>
      <c r="C83" s="36"/>
      <c r="D83" s="37"/>
      <c r="E83" s="40"/>
      <c r="F83" s="42"/>
      <c r="G83" s="23"/>
      <c r="H83" s="24"/>
      <c r="I83" s="25"/>
    </row>
    <row r="84" spans="1:9" x14ac:dyDescent="0.35">
      <c r="A84" s="26"/>
      <c r="B84" s="28"/>
      <c r="C84" s="38"/>
      <c r="D84" s="39"/>
      <c r="E84" s="41"/>
      <c r="F84" s="43"/>
      <c r="G84" s="26"/>
      <c r="H84" s="27"/>
      <c r="I84" s="28"/>
    </row>
    <row r="85" spans="1:9" x14ac:dyDescent="0.35">
      <c r="A85" s="11"/>
      <c r="B85" s="12"/>
      <c r="C85" s="15"/>
      <c r="D85" s="16"/>
      <c r="E85" s="19"/>
      <c r="F85" s="21"/>
      <c r="G85" s="11"/>
      <c r="H85" s="31"/>
      <c r="I85" s="12"/>
    </row>
    <row r="86" spans="1:9" x14ac:dyDescent="0.35">
      <c r="A86" s="13"/>
      <c r="B86" s="14"/>
      <c r="C86" s="17"/>
      <c r="D86" s="18"/>
      <c r="E86" s="20"/>
      <c r="F86" s="22">
        <v>46197</v>
      </c>
      <c r="G86" s="13"/>
      <c r="H86" s="35"/>
      <c r="I86" s="14"/>
    </row>
    <row r="87" spans="1:9" x14ac:dyDescent="0.35">
      <c r="A87" s="11"/>
      <c r="B87" s="12"/>
      <c r="C87" s="15"/>
      <c r="D87" s="16"/>
      <c r="E87" s="19"/>
      <c r="F87" s="21"/>
      <c r="G87" s="11"/>
      <c r="H87" s="31"/>
      <c r="I87" s="12"/>
    </row>
    <row r="88" spans="1:9" x14ac:dyDescent="0.35">
      <c r="A88" s="13"/>
      <c r="B88" s="14"/>
      <c r="C88" s="17"/>
      <c r="D88" s="18"/>
      <c r="E88" s="20"/>
      <c r="F88" s="22">
        <v>46197</v>
      </c>
      <c r="G88" s="13"/>
      <c r="H88" s="35"/>
      <c r="I88" s="14"/>
    </row>
    <row r="89" spans="1:9" x14ac:dyDescent="0.35">
      <c r="A89" s="11"/>
      <c r="B89" s="12"/>
      <c r="C89" s="15"/>
      <c r="D89" s="16"/>
      <c r="E89" s="19"/>
      <c r="F89" s="21"/>
      <c r="G89" s="11"/>
      <c r="H89" s="31"/>
      <c r="I89" s="12"/>
    </row>
    <row r="90" spans="1:9" x14ac:dyDescent="0.35">
      <c r="A90" s="13"/>
      <c r="B90" s="14"/>
      <c r="C90" s="17"/>
      <c r="D90" s="18"/>
      <c r="E90" s="20"/>
      <c r="F90" s="22">
        <v>46197</v>
      </c>
      <c r="G90" s="13"/>
      <c r="H90" s="35"/>
      <c r="I90" s="14"/>
    </row>
    <row r="91" spans="1:9" x14ac:dyDescent="0.35">
      <c r="A91" s="11"/>
      <c r="B91" s="12"/>
      <c r="C91" s="15"/>
      <c r="D91" s="16"/>
      <c r="E91" s="19"/>
      <c r="F91" s="21"/>
      <c r="G91" s="11"/>
      <c r="H91" s="31"/>
      <c r="I91" s="12"/>
    </row>
    <row r="92" spans="1:9" x14ac:dyDescent="0.35">
      <c r="A92" s="13"/>
      <c r="B92" s="14"/>
      <c r="C92" s="17"/>
      <c r="D92" s="18"/>
      <c r="E92" s="20"/>
      <c r="F92" s="22">
        <v>46197</v>
      </c>
      <c r="G92" s="13"/>
      <c r="H92" s="35"/>
      <c r="I92" s="14"/>
    </row>
    <row r="93" spans="1:9" x14ac:dyDescent="0.35">
      <c r="A93" s="11"/>
      <c r="B93" s="12"/>
      <c r="C93" s="15"/>
      <c r="D93" s="16"/>
      <c r="E93" s="19"/>
      <c r="F93" s="21"/>
      <c r="G93" s="23"/>
      <c r="H93" s="24"/>
      <c r="I93" s="25"/>
    </row>
    <row r="94" spans="1:9" x14ac:dyDescent="0.35">
      <c r="A94" s="13"/>
      <c r="B94" s="14"/>
      <c r="C94" s="17"/>
      <c r="D94" s="18"/>
      <c r="E94" s="20"/>
      <c r="F94" s="22">
        <v>46197</v>
      </c>
      <c r="G94" s="26"/>
      <c r="H94" s="27"/>
      <c r="I94" s="28"/>
    </row>
    <row r="95" spans="1:9" x14ac:dyDescent="0.35">
      <c r="A95" s="11"/>
      <c r="B95" s="12"/>
      <c r="C95" s="15"/>
      <c r="D95" s="16"/>
      <c r="E95" s="19"/>
      <c r="F95" s="29"/>
      <c r="G95" s="11"/>
      <c r="H95" s="31"/>
      <c r="I95" s="12"/>
    </row>
    <row r="96" spans="1:9" ht="21.75" thickBot="1" x14ac:dyDescent="0.4">
      <c r="A96" s="13"/>
      <c r="B96" s="14"/>
      <c r="C96" s="17"/>
      <c r="D96" s="18"/>
      <c r="E96" s="20"/>
      <c r="F96" s="30"/>
      <c r="G96" s="32"/>
      <c r="H96" s="33"/>
      <c r="I96" s="34"/>
    </row>
    <row r="97" spans="1:9" x14ac:dyDescent="0.35">
      <c r="A97" s="3">
        <f>SUM(A51:B96)</f>
        <v>960</v>
      </c>
      <c r="B97" s="4"/>
      <c r="C97" s="4"/>
      <c r="D97" s="5"/>
      <c r="E97" s="3" t="s">
        <v>5</v>
      </c>
      <c r="F97" s="4"/>
      <c r="G97" s="9"/>
      <c r="H97" s="9"/>
      <c r="I97" s="10"/>
    </row>
    <row r="98" spans="1:9" ht="21.75" thickBot="1" x14ac:dyDescent="0.4">
      <c r="A98" s="6"/>
      <c r="B98" s="7"/>
      <c r="C98" s="7"/>
      <c r="D98" s="8"/>
      <c r="E98" s="6"/>
      <c r="F98" s="7"/>
      <c r="G98" s="7"/>
      <c r="H98" s="7"/>
      <c r="I98" s="8"/>
    </row>
  </sheetData>
  <mergeCells count="229">
    <mergeCell ref="F11:F12"/>
    <mergeCell ref="F13:F14"/>
    <mergeCell ref="F15:F16"/>
    <mergeCell ref="F17:F18"/>
    <mergeCell ref="F39:F40"/>
    <mergeCell ref="F41:F42"/>
    <mergeCell ref="F33:F34"/>
    <mergeCell ref="F35:F36"/>
    <mergeCell ref="F37:F38"/>
    <mergeCell ref="G39:I40"/>
    <mergeCell ref="G41:I42"/>
    <mergeCell ref="G33:I34"/>
    <mergeCell ref="G35:I36"/>
    <mergeCell ref="G37:I38"/>
    <mergeCell ref="G5:I6"/>
    <mergeCell ref="G7:I8"/>
    <mergeCell ref="G9:I10"/>
    <mergeCell ref="G11:I12"/>
    <mergeCell ref="G13:I14"/>
    <mergeCell ref="G15:I16"/>
    <mergeCell ref="G17:I18"/>
    <mergeCell ref="F29:F30"/>
    <mergeCell ref="F31:F32"/>
    <mergeCell ref="F19:F20"/>
    <mergeCell ref="F21:F22"/>
    <mergeCell ref="F23:F24"/>
    <mergeCell ref="F25:F26"/>
    <mergeCell ref="F27:F28"/>
    <mergeCell ref="G19:I20"/>
    <mergeCell ref="G21:I22"/>
    <mergeCell ref="G23:I24"/>
    <mergeCell ref="G25:I26"/>
    <mergeCell ref="G27:I28"/>
    <mergeCell ref="G29:I30"/>
    <mergeCell ref="G31:I32"/>
    <mergeCell ref="F5:F6"/>
    <mergeCell ref="F7:F8"/>
    <mergeCell ref="F9:F10"/>
    <mergeCell ref="E39:E40"/>
    <mergeCell ref="E41:E42"/>
    <mergeCell ref="E33:E34"/>
    <mergeCell ref="E35:E36"/>
    <mergeCell ref="E37:E38"/>
    <mergeCell ref="E19:E20"/>
    <mergeCell ref="E21:E22"/>
    <mergeCell ref="E23:E24"/>
    <mergeCell ref="E25:E26"/>
    <mergeCell ref="C33:D34"/>
    <mergeCell ref="A21:B22"/>
    <mergeCell ref="A23:B24"/>
    <mergeCell ref="A25:B26"/>
    <mergeCell ref="A27:B28"/>
    <mergeCell ref="C39:D40"/>
    <mergeCell ref="C41:D42"/>
    <mergeCell ref="C35:D36"/>
    <mergeCell ref="C37:D38"/>
    <mergeCell ref="E5:E6"/>
    <mergeCell ref="E7:E8"/>
    <mergeCell ref="E9:E10"/>
    <mergeCell ref="E11:E12"/>
    <mergeCell ref="E13:E14"/>
    <mergeCell ref="E15:E16"/>
    <mergeCell ref="E17:E18"/>
    <mergeCell ref="C29:D30"/>
    <mergeCell ref="C31:D32"/>
    <mergeCell ref="C19:D20"/>
    <mergeCell ref="C21:D22"/>
    <mergeCell ref="C23:D24"/>
    <mergeCell ref="C25:D26"/>
    <mergeCell ref="C27:D28"/>
    <mergeCell ref="E27:E28"/>
    <mergeCell ref="E29:E30"/>
    <mergeCell ref="E31:E32"/>
    <mergeCell ref="E43:I44"/>
    <mergeCell ref="A43:D44"/>
    <mergeCell ref="A5:B6"/>
    <mergeCell ref="A7:B8"/>
    <mergeCell ref="A9:B10"/>
    <mergeCell ref="A11:B12"/>
    <mergeCell ref="A13:B14"/>
    <mergeCell ref="A15:B16"/>
    <mergeCell ref="A17:B18"/>
    <mergeCell ref="A39:B40"/>
    <mergeCell ref="A41:B42"/>
    <mergeCell ref="C5:D6"/>
    <mergeCell ref="C7:D8"/>
    <mergeCell ref="C9:D10"/>
    <mergeCell ref="C11:D12"/>
    <mergeCell ref="C13:D14"/>
    <mergeCell ref="C15:D16"/>
    <mergeCell ref="C17:D18"/>
    <mergeCell ref="A29:B30"/>
    <mergeCell ref="A31:B32"/>
    <mergeCell ref="A33:B34"/>
    <mergeCell ref="A35:B36"/>
    <mergeCell ref="A37:B38"/>
    <mergeCell ref="A19:B20"/>
    <mergeCell ref="G3:I4"/>
    <mergeCell ref="F3:F4"/>
    <mergeCell ref="E3:E4"/>
    <mergeCell ref="C3:D4"/>
    <mergeCell ref="A3:B4"/>
    <mergeCell ref="C1:D2"/>
    <mergeCell ref="G1:I2"/>
    <mergeCell ref="A1:B2"/>
    <mergeCell ref="F1:F2"/>
    <mergeCell ref="E1:E2"/>
    <mergeCell ref="A49:B50"/>
    <mergeCell ref="C49:D50"/>
    <mergeCell ref="E49:E50"/>
    <mergeCell ref="F49:F50"/>
    <mergeCell ref="G49:I50"/>
    <mergeCell ref="A51:B52"/>
    <mergeCell ref="C51:D52"/>
    <mergeCell ref="E51:E52"/>
    <mergeCell ref="F51:F52"/>
    <mergeCell ref="G51:I52"/>
    <mergeCell ref="A53:B54"/>
    <mergeCell ref="C53:D54"/>
    <mergeCell ref="E53:E54"/>
    <mergeCell ref="F53:F54"/>
    <mergeCell ref="G53:I54"/>
    <mergeCell ref="A55:B56"/>
    <mergeCell ref="C55:D56"/>
    <mergeCell ref="E55:E56"/>
    <mergeCell ref="F55:F56"/>
    <mergeCell ref="G55:I56"/>
    <mergeCell ref="A57:B58"/>
    <mergeCell ref="C57:D58"/>
    <mergeCell ref="E57:E58"/>
    <mergeCell ref="F57:F58"/>
    <mergeCell ref="G57:I58"/>
    <mergeCell ref="A59:B60"/>
    <mergeCell ref="C59:D60"/>
    <mergeCell ref="E59:E60"/>
    <mergeCell ref="F59:F60"/>
    <mergeCell ref="G59:I60"/>
    <mergeCell ref="A61:B62"/>
    <mergeCell ref="C61:D62"/>
    <mergeCell ref="E61:E62"/>
    <mergeCell ref="F61:F62"/>
    <mergeCell ref="G61:I62"/>
    <mergeCell ref="A63:B64"/>
    <mergeCell ref="C63:D64"/>
    <mergeCell ref="E63:E64"/>
    <mergeCell ref="F63:F64"/>
    <mergeCell ref="G63:I64"/>
    <mergeCell ref="A65:B66"/>
    <mergeCell ref="C65:D66"/>
    <mergeCell ref="E65:E66"/>
    <mergeCell ref="F65:F66"/>
    <mergeCell ref="G65:I66"/>
    <mergeCell ref="A67:B68"/>
    <mergeCell ref="C67:D68"/>
    <mergeCell ref="E67:E68"/>
    <mergeCell ref="F67:F68"/>
    <mergeCell ref="G67:I68"/>
    <mergeCell ref="A69:B70"/>
    <mergeCell ref="C69:D70"/>
    <mergeCell ref="E69:E70"/>
    <mergeCell ref="F69:F70"/>
    <mergeCell ref="G69:I70"/>
    <mergeCell ref="A71:B72"/>
    <mergeCell ref="C71:D72"/>
    <mergeCell ref="E71:E72"/>
    <mergeCell ref="F71:F72"/>
    <mergeCell ref="G71:I72"/>
    <mergeCell ref="A73:B74"/>
    <mergeCell ref="C73:D74"/>
    <mergeCell ref="E73:E74"/>
    <mergeCell ref="F73:F74"/>
    <mergeCell ref="G73:I74"/>
    <mergeCell ref="A75:B76"/>
    <mergeCell ref="C75:D76"/>
    <mergeCell ref="E75:E76"/>
    <mergeCell ref="F75:F76"/>
    <mergeCell ref="G75:I76"/>
    <mergeCell ref="A77:B78"/>
    <mergeCell ref="C77:D78"/>
    <mergeCell ref="E77:E78"/>
    <mergeCell ref="F77:F78"/>
    <mergeCell ref="G77:I78"/>
    <mergeCell ref="A79:B80"/>
    <mergeCell ref="C79:D80"/>
    <mergeCell ref="E79:E80"/>
    <mergeCell ref="F79:F80"/>
    <mergeCell ref="G79:I80"/>
    <mergeCell ref="A81:B82"/>
    <mergeCell ref="C81:D82"/>
    <mergeCell ref="E81:E82"/>
    <mergeCell ref="F81:F82"/>
    <mergeCell ref="G81:I82"/>
    <mergeCell ref="A83:B84"/>
    <mergeCell ref="C83:D84"/>
    <mergeCell ref="E83:E84"/>
    <mergeCell ref="F83:F84"/>
    <mergeCell ref="G83:I84"/>
    <mergeCell ref="A85:B86"/>
    <mergeCell ref="C85:D86"/>
    <mergeCell ref="E85:E86"/>
    <mergeCell ref="F85:F86"/>
    <mergeCell ref="G85:I86"/>
    <mergeCell ref="A87:B88"/>
    <mergeCell ref="C87:D88"/>
    <mergeCell ref="E87:E88"/>
    <mergeCell ref="F87:F88"/>
    <mergeCell ref="G87:I88"/>
    <mergeCell ref="A89:B90"/>
    <mergeCell ref="C89:D90"/>
    <mergeCell ref="E89:E90"/>
    <mergeCell ref="F89:F90"/>
    <mergeCell ref="G89:I90"/>
    <mergeCell ref="A91:B92"/>
    <mergeCell ref="C91:D92"/>
    <mergeCell ref="E91:E92"/>
    <mergeCell ref="F91:F92"/>
    <mergeCell ref="G91:I92"/>
    <mergeCell ref="A97:D98"/>
    <mergeCell ref="E97:I98"/>
    <mergeCell ref="A93:B94"/>
    <mergeCell ref="C93:D94"/>
    <mergeCell ref="E93:E94"/>
    <mergeCell ref="F93:F94"/>
    <mergeCell ref="G93:I94"/>
    <mergeCell ref="A95:B96"/>
    <mergeCell ref="C95:D96"/>
    <mergeCell ref="E95:E96"/>
    <mergeCell ref="F95:F96"/>
    <mergeCell ref="G95:I9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الذمم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T.G</dc:creator>
  <cp:lastModifiedBy>T.G</cp:lastModifiedBy>
  <cp:lastPrinted>2026-08-06T20:43:00Z</cp:lastPrinted>
  <dcterms:created xsi:type="dcterms:W3CDTF">2026-07-02T11:41:15Z</dcterms:created>
  <dcterms:modified xsi:type="dcterms:W3CDTF">2026-08-09T14:54:23Z</dcterms:modified>
</cp:coreProperties>
</file>